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eccc9ba13b5ec9e0/Documents/GitHub/Gestion-de-recherche-en-Biodiversite/Docs/CDC et ToDo/"/>
    </mc:Choice>
  </mc:AlternateContent>
  <xr:revisionPtr revIDLastSave="1" documentId="11_43E74C9EFD25A6D7E142DDEE1E23A90B9B1572B9" xr6:coauthVersionLast="47" xr6:coauthVersionMax="47" xr10:uidLastSave="{8B6CC21C-F9AB-456D-966D-1F4FDE91E0F1}"/>
  <bookViews>
    <workbookView xWindow="-120" yWindow="-120" windowWidth="20730" windowHeight="11040" activeTab="1" xr2:uid="{00000000-000D-0000-FFFF-FFFF00000000}"/>
  </bookViews>
  <sheets>
    <sheet name="groupe" sheetId="1" r:id="rId1"/>
    <sheet name="liste des taches" sheetId="2" r:id="rId2"/>
    <sheet name="Recap" sheetId="3" r:id="rId3"/>
    <sheet name="avancement" sheetId="4" r:id="rId4"/>
    <sheet name="detail_avancement" sheetId="5" r:id="rId5"/>
  </sheets>
  <calcPr calcId="191029"/>
  <pivotCaches>
    <pivotCache cacheId="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23" i="5" l="1"/>
  <c r="B922" i="5"/>
  <c r="B921" i="5"/>
  <c r="B920" i="5"/>
  <c r="I920" i="2" s="1"/>
  <c r="B919" i="5"/>
  <c r="B918" i="5"/>
  <c r="B917" i="5"/>
  <c r="B916" i="5"/>
  <c r="I916" i="2" s="1"/>
  <c r="B915" i="5"/>
  <c r="B914" i="5"/>
  <c r="B913" i="5"/>
  <c r="B912" i="5"/>
  <c r="I912" i="2" s="1"/>
  <c r="B911" i="5"/>
  <c r="B910" i="5"/>
  <c r="B909" i="5"/>
  <c r="B908" i="5"/>
  <c r="I908" i="2" s="1"/>
  <c r="B907" i="5"/>
  <c r="B906" i="5"/>
  <c r="B905" i="5"/>
  <c r="B904" i="5"/>
  <c r="I904" i="2" s="1"/>
  <c r="B903" i="5"/>
  <c r="B902" i="5"/>
  <c r="B901" i="5"/>
  <c r="B900" i="5"/>
  <c r="I900" i="2" s="1"/>
  <c r="B899" i="5"/>
  <c r="B898" i="5"/>
  <c r="B897" i="5"/>
  <c r="B896" i="5"/>
  <c r="I896" i="2" s="1"/>
  <c r="B895" i="5"/>
  <c r="B894" i="5"/>
  <c r="B893" i="5"/>
  <c r="B892" i="5"/>
  <c r="I892" i="2" s="1"/>
  <c r="B891" i="5"/>
  <c r="B890" i="5"/>
  <c r="B889" i="5"/>
  <c r="B888" i="5"/>
  <c r="I888" i="2" s="1"/>
  <c r="B887" i="5"/>
  <c r="B886" i="5"/>
  <c r="B885" i="5"/>
  <c r="B884" i="5"/>
  <c r="I884" i="2" s="1"/>
  <c r="B883" i="5"/>
  <c r="B882" i="5"/>
  <c r="B881" i="5"/>
  <c r="B880" i="5"/>
  <c r="I880" i="2" s="1"/>
  <c r="B879" i="5"/>
  <c r="B878" i="5"/>
  <c r="B877" i="5"/>
  <c r="B876" i="5"/>
  <c r="I876" i="2" s="1"/>
  <c r="B875" i="5"/>
  <c r="B874" i="5"/>
  <c r="B873" i="5"/>
  <c r="B872" i="5"/>
  <c r="I872" i="2" s="1"/>
  <c r="B871" i="5"/>
  <c r="B870" i="5"/>
  <c r="B869" i="5"/>
  <c r="B868" i="5"/>
  <c r="I868" i="2" s="1"/>
  <c r="B867" i="5"/>
  <c r="B866" i="5"/>
  <c r="B865" i="5"/>
  <c r="B864" i="5"/>
  <c r="I864" i="2" s="1"/>
  <c r="B863" i="5"/>
  <c r="B862" i="5"/>
  <c r="B861" i="5"/>
  <c r="B860" i="5"/>
  <c r="I860" i="2" s="1"/>
  <c r="B859" i="5"/>
  <c r="B858" i="5"/>
  <c r="B857" i="5"/>
  <c r="B856" i="5"/>
  <c r="I856" i="2" s="1"/>
  <c r="B855" i="5"/>
  <c r="B854" i="5"/>
  <c r="B853" i="5"/>
  <c r="B852" i="5"/>
  <c r="I852" i="2" s="1"/>
  <c r="B851" i="5"/>
  <c r="B850" i="5"/>
  <c r="B849" i="5"/>
  <c r="B848" i="5"/>
  <c r="I848" i="2" s="1"/>
  <c r="B847" i="5"/>
  <c r="B846" i="5"/>
  <c r="B845" i="5"/>
  <c r="B844" i="5"/>
  <c r="I844" i="2" s="1"/>
  <c r="B843" i="5"/>
  <c r="B842" i="5"/>
  <c r="B841" i="5"/>
  <c r="B840" i="5"/>
  <c r="I840" i="2" s="1"/>
  <c r="B839" i="5"/>
  <c r="B838" i="5"/>
  <c r="B837" i="5"/>
  <c r="B836" i="5"/>
  <c r="I836" i="2" s="1"/>
  <c r="B835" i="5"/>
  <c r="B834" i="5"/>
  <c r="B833" i="5"/>
  <c r="B832" i="5"/>
  <c r="I832" i="2" s="1"/>
  <c r="B831" i="5"/>
  <c r="B830" i="5"/>
  <c r="B829" i="5"/>
  <c r="B828" i="5"/>
  <c r="I828" i="2" s="1"/>
  <c r="B827" i="5"/>
  <c r="B826" i="5"/>
  <c r="B825" i="5"/>
  <c r="B824" i="5"/>
  <c r="I824" i="2" s="1"/>
  <c r="B823" i="5"/>
  <c r="B822" i="5"/>
  <c r="B821" i="5"/>
  <c r="B820" i="5"/>
  <c r="I820" i="2" s="1"/>
  <c r="B819" i="5"/>
  <c r="B818" i="5"/>
  <c r="B817" i="5"/>
  <c r="B816" i="5"/>
  <c r="I816" i="2" s="1"/>
  <c r="B815" i="5"/>
  <c r="B814" i="5"/>
  <c r="B813" i="5"/>
  <c r="B812" i="5"/>
  <c r="I812" i="2" s="1"/>
  <c r="B811" i="5"/>
  <c r="B810" i="5"/>
  <c r="B809" i="5"/>
  <c r="B808" i="5"/>
  <c r="I808" i="2" s="1"/>
  <c r="B807" i="5"/>
  <c r="B806" i="5"/>
  <c r="B805" i="5"/>
  <c r="B804" i="5"/>
  <c r="I804" i="2" s="1"/>
  <c r="B803" i="5"/>
  <c r="B802" i="5"/>
  <c r="B801" i="5"/>
  <c r="B800" i="5"/>
  <c r="I800" i="2" s="1"/>
  <c r="B799" i="5"/>
  <c r="B798" i="5"/>
  <c r="B797" i="5"/>
  <c r="B796" i="5"/>
  <c r="I796" i="2" s="1"/>
  <c r="B795" i="5"/>
  <c r="B794" i="5"/>
  <c r="B793" i="5"/>
  <c r="B792" i="5"/>
  <c r="I792" i="2" s="1"/>
  <c r="B791" i="5"/>
  <c r="B790" i="5"/>
  <c r="B789" i="5"/>
  <c r="B788" i="5"/>
  <c r="I788" i="2" s="1"/>
  <c r="B787" i="5"/>
  <c r="B786" i="5"/>
  <c r="B785" i="5"/>
  <c r="B784" i="5"/>
  <c r="I784" i="2" s="1"/>
  <c r="B783" i="5"/>
  <c r="B782" i="5"/>
  <c r="B781" i="5"/>
  <c r="B780" i="5"/>
  <c r="I780" i="2" s="1"/>
  <c r="B779" i="5"/>
  <c r="B778" i="5"/>
  <c r="B777" i="5"/>
  <c r="B776" i="5"/>
  <c r="I776" i="2" s="1"/>
  <c r="B775" i="5"/>
  <c r="B774" i="5"/>
  <c r="B773" i="5"/>
  <c r="B772" i="5"/>
  <c r="I772" i="2" s="1"/>
  <c r="B771" i="5"/>
  <c r="B770" i="5"/>
  <c r="B769" i="5"/>
  <c r="B768" i="5"/>
  <c r="I768" i="2" s="1"/>
  <c r="B767" i="5"/>
  <c r="B766" i="5"/>
  <c r="B765" i="5"/>
  <c r="B764" i="5"/>
  <c r="I764" i="2" s="1"/>
  <c r="B763" i="5"/>
  <c r="B762" i="5"/>
  <c r="B761" i="5"/>
  <c r="B760" i="5"/>
  <c r="I760" i="2" s="1"/>
  <c r="B759" i="5"/>
  <c r="B758" i="5"/>
  <c r="B757" i="5"/>
  <c r="B756" i="5"/>
  <c r="I756" i="2" s="1"/>
  <c r="B755" i="5"/>
  <c r="B754" i="5"/>
  <c r="B753" i="5"/>
  <c r="B752" i="5"/>
  <c r="I752" i="2" s="1"/>
  <c r="B751" i="5"/>
  <c r="B750" i="5"/>
  <c r="B749" i="5"/>
  <c r="B748" i="5"/>
  <c r="I748" i="2" s="1"/>
  <c r="B747" i="5"/>
  <c r="B746" i="5"/>
  <c r="B745" i="5"/>
  <c r="B744" i="5"/>
  <c r="I744" i="2" s="1"/>
  <c r="B743" i="5"/>
  <c r="B742" i="5"/>
  <c r="B741" i="5"/>
  <c r="B740" i="5"/>
  <c r="I740" i="2" s="1"/>
  <c r="B739" i="5"/>
  <c r="B738" i="5"/>
  <c r="B737" i="5"/>
  <c r="B736" i="5"/>
  <c r="I736" i="2" s="1"/>
  <c r="B735" i="5"/>
  <c r="B734" i="5"/>
  <c r="B733" i="5"/>
  <c r="B732" i="5"/>
  <c r="I732" i="2" s="1"/>
  <c r="B731" i="5"/>
  <c r="B730" i="5"/>
  <c r="B729" i="5"/>
  <c r="B728" i="5"/>
  <c r="I728" i="2" s="1"/>
  <c r="B727" i="5"/>
  <c r="B726" i="5"/>
  <c r="B725" i="5"/>
  <c r="B724" i="5"/>
  <c r="I724" i="2" s="1"/>
  <c r="B723" i="5"/>
  <c r="B722" i="5"/>
  <c r="B721" i="5"/>
  <c r="B720" i="5"/>
  <c r="I720" i="2" s="1"/>
  <c r="B719" i="5"/>
  <c r="B718" i="5"/>
  <c r="B717" i="5"/>
  <c r="B716" i="5"/>
  <c r="I716" i="2" s="1"/>
  <c r="B715" i="5"/>
  <c r="B714" i="5"/>
  <c r="B713" i="5"/>
  <c r="B712" i="5"/>
  <c r="I712" i="2" s="1"/>
  <c r="B711" i="5"/>
  <c r="B710" i="5"/>
  <c r="B709" i="5"/>
  <c r="B708" i="5"/>
  <c r="I708" i="2" s="1"/>
  <c r="B707" i="5"/>
  <c r="B706" i="5"/>
  <c r="B705" i="5"/>
  <c r="B704" i="5"/>
  <c r="I704" i="2" s="1"/>
  <c r="B703" i="5"/>
  <c r="B702" i="5"/>
  <c r="B701" i="5"/>
  <c r="B700" i="5"/>
  <c r="I700" i="2" s="1"/>
  <c r="B699" i="5"/>
  <c r="B698" i="5"/>
  <c r="B697" i="5"/>
  <c r="B696" i="5"/>
  <c r="I696" i="2" s="1"/>
  <c r="B695" i="5"/>
  <c r="B694" i="5"/>
  <c r="B693" i="5"/>
  <c r="B692" i="5"/>
  <c r="I692" i="2" s="1"/>
  <c r="B691" i="5"/>
  <c r="B690" i="5"/>
  <c r="B689" i="5"/>
  <c r="B688" i="5"/>
  <c r="I688" i="2" s="1"/>
  <c r="B687" i="5"/>
  <c r="B686" i="5"/>
  <c r="B685" i="5"/>
  <c r="B684" i="5"/>
  <c r="I684" i="2" s="1"/>
  <c r="B683" i="5"/>
  <c r="B682" i="5"/>
  <c r="B681" i="5"/>
  <c r="B680" i="5"/>
  <c r="I680" i="2" s="1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I112" i="2" s="1"/>
  <c r="B111" i="5"/>
  <c r="B110" i="5"/>
  <c r="B109" i="5"/>
  <c r="B108" i="5"/>
  <c r="I108" i="2" s="1"/>
  <c r="B107" i="5"/>
  <c r="B106" i="5"/>
  <c r="B105" i="5"/>
  <c r="B104" i="5"/>
  <c r="I104" i="2" s="1"/>
  <c r="B103" i="5"/>
  <c r="B102" i="5"/>
  <c r="B101" i="5"/>
  <c r="B100" i="5"/>
  <c r="I100" i="2" s="1"/>
  <c r="B99" i="5"/>
  <c r="B98" i="5"/>
  <c r="B97" i="5"/>
  <c r="I97" i="2" s="1"/>
  <c r="B96" i="5"/>
  <c r="I96" i="2" s="1"/>
  <c r="B95" i="5"/>
  <c r="B94" i="5"/>
  <c r="B93" i="5"/>
  <c r="I93" i="2" s="1"/>
  <c r="B92" i="5"/>
  <c r="I92" i="2" s="1"/>
  <c r="B91" i="5"/>
  <c r="B90" i="5"/>
  <c r="B89" i="5"/>
  <c r="I89" i="2" s="1"/>
  <c r="B88" i="5"/>
  <c r="I88" i="2" s="1"/>
  <c r="B87" i="5"/>
  <c r="B86" i="5"/>
  <c r="B85" i="5"/>
  <c r="I85" i="2" s="1"/>
  <c r="B84" i="5"/>
  <c r="I84" i="2" s="1"/>
  <c r="B83" i="5"/>
  <c r="B82" i="5"/>
  <c r="B81" i="5"/>
  <c r="I81" i="2" s="1"/>
  <c r="B80" i="5"/>
  <c r="I80" i="2" s="1"/>
  <c r="B79" i="5"/>
  <c r="B78" i="5"/>
  <c r="B77" i="5"/>
  <c r="I77" i="2" s="1"/>
  <c r="B76" i="5"/>
  <c r="I76" i="2" s="1"/>
  <c r="B75" i="5"/>
  <c r="B74" i="5"/>
  <c r="B73" i="5"/>
  <c r="I73" i="2" s="1"/>
  <c r="B72" i="5"/>
  <c r="I72" i="2" s="1"/>
  <c r="B71" i="5"/>
  <c r="B70" i="5"/>
  <c r="B69" i="5"/>
  <c r="I69" i="2" s="1"/>
  <c r="B68" i="5"/>
  <c r="I68" i="2" s="1"/>
  <c r="B67" i="5"/>
  <c r="B66" i="5"/>
  <c r="B65" i="5"/>
  <c r="I65" i="2" s="1"/>
  <c r="B64" i="5"/>
  <c r="I64" i="2" s="1"/>
  <c r="B63" i="5"/>
  <c r="B62" i="5"/>
  <c r="B61" i="5"/>
  <c r="I61" i="2" s="1"/>
  <c r="B60" i="5"/>
  <c r="I60" i="2" s="1"/>
  <c r="B59" i="5"/>
  <c r="B58" i="5"/>
  <c r="B57" i="5"/>
  <c r="B56" i="5"/>
  <c r="I56" i="2" s="1"/>
  <c r="B55" i="5"/>
  <c r="B54" i="5"/>
  <c r="B53" i="5"/>
  <c r="B52" i="5"/>
  <c r="I52" i="2" s="1"/>
  <c r="B51" i="5"/>
  <c r="B50" i="5"/>
  <c r="B49" i="5"/>
  <c r="B48" i="5"/>
  <c r="I48" i="2" s="1"/>
  <c r="B47" i="5"/>
  <c r="B46" i="5"/>
  <c r="B45" i="5"/>
  <c r="B44" i="5"/>
  <c r="I44" i="2" s="1"/>
  <c r="B43" i="5"/>
  <c r="B42" i="5"/>
  <c r="B41" i="5"/>
  <c r="B40" i="5"/>
  <c r="I40" i="2" s="1"/>
  <c r="B39" i="5"/>
  <c r="B38" i="5"/>
  <c r="B37" i="5"/>
  <c r="B36" i="5"/>
  <c r="I36" i="2" s="1"/>
  <c r="B35" i="5"/>
  <c r="B34" i="5"/>
  <c r="B33" i="5"/>
  <c r="B32" i="5"/>
  <c r="B31" i="5"/>
  <c r="B30" i="5"/>
  <c r="B29" i="5"/>
  <c r="B28" i="5"/>
  <c r="I28" i="2" s="1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A2" i="4"/>
  <c r="A3" i="4" s="1"/>
  <c r="K923" i="2"/>
  <c r="J923" i="2"/>
  <c r="I923" i="2"/>
  <c r="L923" i="2" s="1"/>
  <c r="I922" i="2"/>
  <c r="I921" i="2"/>
  <c r="K920" i="2"/>
  <c r="K919" i="2"/>
  <c r="J919" i="2"/>
  <c r="I919" i="2"/>
  <c r="L919" i="2" s="1"/>
  <c r="J918" i="2"/>
  <c r="I918" i="2"/>
  <c r="I917" i="2"/>
  <c r="K915" i="2"/>
  <c r="J915" i="2"/>
  <c r="I915" i="2"/>
  <c r="L915" i="2" s="1"/>
  <c r="I914" i="2"/>
  <c r="I913" i="2"/>
  <c r="K911" i="2"/>
  <c r="J911" i="2"/>
  <c r="I911" i="2"/>
  <c r="L911" i="2" s="1"/>
  <c r="I910" i="2"/>
  <c r="I909" i="2"/>
  <c r="K907" i="2"/>
  <c r="J907" i="2"/>
  <c r="I907" i="2"/>
  <c r="L907" i="2" s="1"/>
  <c r="I906" i="2"/>
  <c r="I905" i="2"/>
  <c r="K904" i="2"/>
  <c r="K903" i="2"/>
  <c r="J903" i="2"/>
  <c r="I903" i="2"/>
  <c r="L903" i="2" s="1"/>
  <c r="J902" i="2"/>
  <c r="I902" i="2"/>
  <c r="I901" i="2"/>
  <c r="K899" i="2"/>
  <c r="J899" i="2"/>
  <c r="I899" i="2"/>
  <c r="L899" i="2" s="1"/>
  <c r="I898" i="2"/>
  <c r="I897" i="2"/>
  <c r="K895" i="2"/>
  <c r="J895" i="2"/>
  <c r="I895" i="2"/>
  <c r="L895" i="2" s="1"/>
  <c r="I894" i="2"/>
  <c r="I893" i="2"/>
  <c r="K891" i="2"/>
  <c r="J891" i="2"/>
  <c r="I891" i="2"/>
  <c r="L891" i="2" s="1"/>
  <c r="I890" i="2"/>
  <c r="I889" i="2"/>
  <c r="K888" i="2"/>
  <c r="K887" i="2"/>
  <c r="J887" i="2"/>
  <c r="I887" i="2"/>
  <c r="L887" i="2" s="1"/>
  <c r="J886" i="2"/>
  <c r="I886" i="2"/>
  <c r="I885" i="2"/>
  <c r="K883" i="2"/>
  <c r="J883" i="2"/>
  <c r="I883" i="2"/>
  <c r="L883" i="2" s="1"/>
  <c r="I882" i="2"/>
  <c r="I881" i="2"/>
  <c r="K879" i="2"/>
  <c r="J879" i="2"/>
  <c r="I879" i="2"/>
  <c r="L879" i="2" s="1"/>
  <c r="I878" i="2"/>
  <c r="I877" i="2"/>
  <c r="K875" i="2"/>
  <c r="J875" i="2"/>
  <c r="I875" i="2"/>
  <c r="L875" i="2" s="1"/>
  <c r="I874" i="2"/>
  <c r="I873" i="2"/>
  <c r="K872" i="2"/>
  <c r="K871" i="2"/>
  <c r="J871" i="2"/>
  <c r="I871" i="2"/>
  <c r="L871" i="2" s="1"/>
  <c r="J870" i="2"/>
  <c r="I870" i="2"/>
  <c r="I869" i="2"/>
  <c r="K867" i="2"/>
  <c r="J867" i="2"/>
  <c r="I867" i="2"/>
  <c r="L867" i="2" s="1"/>
  <c r="I866" i="2"/>
  <c r="I865" i="2"/>
  <c r="K863" i="2"/>
  <c r="J863" i="2"/>
  <c r="I863" i="2"/>
  <c r="L863" i="2" s="1"/>
  <c r="I862" i="2"/>
  <c r="I861" i="2"/>
  <c r="K859" i="2"/>
  <c r="J859" i="2"/>
  <c r="I859" i="2"/>
  <c r="L859" i="2" s="1"/>
  <c r="I858" i="2"/>
  <c r="I857" i="2"/>
  <c r="K856" i="2"/>
  <c r="K855" i="2"/>
  <c r="J855" i="2"/>
  <c r="I855" i="2"/>
  <c r="L855" i="2" s="1"/>
  <c r="J854" i="2"/>
  <c r="I854" i="2"/>
  <c r="I853" i="2"/>
  <c r="K851" i="2"/>
  <c r="J851" i="2"/>
  <c r="I851" i="2"/>
  <c r="L851" i="2" s="1"/>
  <c r="I850" i="2"/>
  <c r="I849" i="2"/>
  <c r="K847" i="2"/>
  <c r="J847" i="2"/>
  <c r="I847" i="2"/>
  <c r="L847" i="2" s="1"/>
  <c r="I846" i="2"/>
  <c r="I845" i="2"/>
  <c r="K843" i="2"/>
  <c r="J843" i="2"/>
  <c r="I843" i="2"/>
  <c r="L843" i="2" s="1"/>
  <c r="I842" i="2"/>
  <c r="I841" i="2"/>
  <c r="I839" i="2"/>
  <c r="L838" i="2"/>
  <c r="I838" i="2"/>
  <c r="I837" i="2"/>
  <c r="I835" i="2"/>
  <c r="L834" i="2"/>
  <c r="I834" i="2"/>
  <c r="I833" i="2"/>
  <c r="I831" i="2"/>
  <c r="L830" i="2"/>
  <c r="I830" i="2"/>
  <c r="I829" i="2"/>
  <c r="I827" i="2"/>
  <c r="L826" i="2"/>
  <c r="I826" i="2"/>
  <c r="I825" i="2"/>
  <c r="I823" i="2"/>
  <c r="L822" i="2"/>
  <c r="I822" i="2"/>
  <c r="I821" i="2"/>
  <c r="I819" i="2"/>
  <c r="K819" i="2" s="1"/>
  <c r="I818" i="2"/>
  <c r="K818" i="2" s="1"/>
  <c r="L817" i="2"/>
  <c r="I817" i="2"/>
  <c r="K817" i="2" s="1"/>
  <c r="I815" i="2"/>
  <c r="K815" i="2" s="1"/>
  <c r="J814" i="2"/>
  <c r="I814" i="2"/>
  <c r="K814" i="2" s="1"/>
  <c r="L813" i="2"/>
  <c r="I813" i="2"/>
  <c r="K813" i="2" s="1"/>
  <c r="I811" i="2"/>
  <c r="K811" i="2" s="1"/>
  <c r="L810" i="2"/>
  <c r="J810" i="2"/>
  <c r="I810" i="2"/>
  <c r="K810" i="2" s="1"/>
  <c r="L809" i="2"/>
  <c r="I809" i="2"/>
  <c r="K809" i="2" s="1"/>
  <c r="I807" i="2"/>
  <c r="K807" i="2" s="1"/>
  <c r="L806" i="2"/>
  <c r="J806" i="2"/>
  <c r="I806" i="2"/>
  <c r="K806" i="2" s="1"/>
  <c r="L805" i="2"/>
  <c r="I805" i="2"/>
  <c r="K805" i="2" s="1"/>
  <c r="I803" i="2"/>
  <c r="K803" i="2" s="1"/>
  <c r="J802" i="2"/>
  <c r="I802" i="2"/>
  <c r="K802" i="2" s="1"/>
  <c r="L801" i="2"/>
  <c r="I801" i="2"/>
  <c r="K801" i="2" s="1"/>
  <c r="I799" i="2"/>
  <c r="K799" i="2" s="1"/>
  <c r="J798" i="2"/>
  <c r="I798" i="2"/>
  <c r="K798" i="2" s="1"/>
  <c r="L797" i="2"/>
  <c r="I797" i="2"/>
  <c r="K797" i="2" s="1"/>
  <c r="L795" i="2"/>
  <c r="K795" i="2"/>
  <c r="J795" i="2"/>
  <c r="I795" i="2"/>
  <c r="L794" i="2"/>
  <c r="K794" i="2"/>
  <c r="J794" i="2"/>
  <c r="I794" i="2"/>
  <c r="L793" i="2"/>
  <c r="K793" i="2"/>
  <c r="J793" i="2"/>
  <c r="I793" i="2"/>
  <c r="L791" i="2"/>
  <c r="K791" i="2"/>
  <c r="J791" i="2"/>
  <c r="I791" i="2"/>
  <c r="L790" i="2"/>
  <c r="K790" i="2"/>
  <c r="J790" i="2"/>
  <c r="I790" i="2"/>
  <c r="L789" i="2"/>
  <c r="K789" i="2"/>
  <c r="J789" i="2"/>
  <c r="I789" i="2"/>
  <c r="L787" i="2"/>
  <c r="K787" i="2"/>
  <c r="J787" i="2"/>
  <c r="I787" i="2"/>
  <c r="L786" i="2"/>
  <c r="K786" i="2"/>
  <c r="J786" i="2"/>
  <c r="I786" i="2"/>
  <c r="L785" i="2"/>
  <c r="K785" i="2"/>
  <c r="J785" i="2"/>
  <c r="I785" i="2"/>
  <c r="L783" i="2"/>
  <c r="K783" i="2"/>
  <c r="J783" i="2"/>
  <c r="I783" i="2"/>
  <c r="L782" i="2"/>
  <c r="K782" i="2"/>
  <c r="J782" i="2"/>
  <c r="I782" i="2"/>
  <c r="L781" i="2"/>
  <c r="K781" i="2"/>
  <c r="J781" i="2"/>
  <c r="I781" i="2"/>
  <c r="L779" i="2"/>
  <c r="K779" i="2"/>
  <c r="J779" i="2"/>
  <c r="I779" i="2"/>
  <c r="L778" i="2"/>
  <c r="K778" i="2"/>
  <c r="J778" i="2"/>
  <c r="I778" i="2"/>
  <c r="L777" i="2"/>
  <c r="K777" i="2"/>
  <c r="J777" i="2"/>
  <c r="I777" i="2"/>
  <c r="L775" i="2"/>
  <c r="K775" i="2"/>
  <c r="J775" i="2"/>
  <c r="I775" i="2"/>
  <c r="L774" i="2"/>
  <c r="K774" i="2"/>
  <c r="J774" i="2"/>
  <c r="I774" i="2"/>
  <c r="L773" i="2"/>
  <c r="K773" i="2"/>
  <c r="J773" i="2"/>
  <c r="I773" i="2"/>
  <c r="L771" i="2"/>
  <c r="K771" i="2"/>
  <c r="J771" i="2"/>
  <c r="I771" i="2"/>
  <c r="L770" i="2"/>
  <c r="K770" i="2"/>
  <c r="J770" i="2"/>
  <c r="I770" i="2"/>
  <c r="L769" i="2"/>
  <c r="K769" i="2"/>
  <c r="J769" i="2"/>
  <c r="I769" i="2"/>
  <c r="L767" i="2"/>
  <c r="K767" i="2"/>
  <c r="J767" i="2"/>
  <c r="I767" i="2"/>
  <c r="L766" i="2"/>
  <c r="K766" i="2"/>
  <c r="J766" i="2"/>
  <c r="I766" i="2"/>
  <c r="L765" i="2"/>
  <c r="K765" i="2"/>
  <c r="J765" i="2"/>
  <c r="I765" i="2"/>
  <c r="L763" i="2"/>
  <c r="K763" i="2"/>
  <c r="J763" i="2"/>
  <c r="I763" i="2"/>
  <c r="L762" i="2"/>
  <c r="K762" i="2"/>
  <c r="J762" i="2"/>
  <c r="I762" i="2"/>
  <c r="L761" i="2"/>
  <c r="K761" i="2"/>
  <c r="J761" i="2"/>
  <c r="I761" i="2"/>
  <c r="L759" i="2"/>
  <c r="K759" i="2"/>
  <c r="J759" i="2"/>
  <c r="I759" i="2"/>
  <c r="L758" i="2"/>
  <c r="K758" i="2"/>
  <c r="J758" i="2"/>
  <c r="I758" i="2"/>
  <c r="L757" i="2"/>
  <c r="K757" i="2"/>
  <c r="J757" i="2"/>
  <c r="I757" i="2"/>
  <c r="L755" i="2"/>
  <c r="K755" i="2"/>
  <c r="J755" i="2"/>
  <c r="I755" i="2"/>
  <c r="L754" i="2"/>
  <c r="K754" i="2"/>
  <c r="J754" i="2"/>
  <c r="I754" i="2"/>
  <c r="L753" i="2"/>
  <c r="K753" i="2"/>
  <c r="J753" i="2"/>
  <c r="I753" i="2"/>
  <c r="L751" i="2"/>
  <c r="K751" i="2"/>
  <c r="J751" i="2"/>
  <c r="I751" i="2"/>
  <c r="L750" i="2"/>
  <c r="K750" i="2"/>
  <c r="J750" i="2"/>
  <c r="I750" i="2"/>
  <c r="L749" i="2"/>
  <c r="K749" i="2"/>
  <c r="J749" i="2"/>
  <c r="I749" i="2"/>
  <c r="L747" i="2"/>
  <c r="K747" i="2"/>
  <c r="J747" i="2"/>
  <c r="I747" i="2"/>
  <c r="L746" i="2"/>
  <c r="K746" i="2"/>
  <c r="J746" i="2"/>
  <c r="I746" i="2"/>
  <c r="L745" i="2"/>
  <c r="K745" i="2"/>
  <c r="J745" i="2"/>
  <c r="I745" i="2"/>
  <c r="L743" i="2"/>
  <c r="K743" i="2"/>
  <c r="J743" i="2"/>
  <c r="I743" i="2"/>
  <c r="L742" i="2"/>
  <c r="K742" i="2"/>
  <c r="J742" i="2"/>
  <c r="I742" i="2"/>
  <c r="L741" i="2"/>
  <c r="K741" i="2"/>
  <c r="J741" i="2"/>
  <c r="I741" i="2"/>
  <c r="L739" i="2"/>
  <c r="K739" i="2"/>
  <c r="J739" i="2"/>
  <c r="I739" i="2"/>
  <c r="L738" i="2"/>
  <c r="K738" i="2"/>
  <c r="J738" i="2"/>
  <c r="I738" i="2"/>
  <c r="L737" i="2"/>
  <c r="K737" i="2"/>
  <c r="J737" i="2"/>
  <c r="I737" i="2"/>
  <c r="L735" i="2"/>
  <c r="K735" i="2"/>
  <c r="J735" i="2"/>
  <c r="I735" i="2"/>
  <c r="L734" i="2"/>
  <c r="K734" i="2"/>
  <c r="J734" i="2"/>
  <c r="I734" i="2"/>
  <c r="L733" i="2"/>
  <c r="K733" i="2"/>
  <c r="J733" i="2"/>
  <c r="I733" i="2"/>
  <c r="L731" i="2"/>
  <c r="K731" i="2"/>
  <c r="J731" i="2"/>
  <c r="I731" i="2"/>
  <c r="L730" i="2"/>
  <c r="K730" i="2"/>
  <c r="J730" i="2"/>
  <c r="I730" i="2"/>
  <c r="L729" i="2"/>
  <c r="K729" i="2"/>
  <c r="J729" i="2"/>
  <c r="I729" i="2"/>
  <c r="L727" i="2"/>
  <c r="K727" i="2"/>
  <c r="J727" i="2"/>
  <c r="I727" i="2"/>
  <c r="L726" i="2"/>
  <c r="K726" i="2"/>
  <c r="J726" i="2"/>
  <c r="I726" i="2"/>
  <c r="L725" i="2"/>
  <c r="K725" i="2"/>
  <c r="J725" i="2"/>
  <c r="I725" i="2"/>
  <c r="L723" i="2"/>
  <c r="K723" i="2"/>
  <c r="J723" i="2"/>
  <c r="I723" i="2"/>
  <c r="L722" i="2"/>
  <c r="K722" i="2"/>
  <c r="J722" i="2"/>
  <c r="I722" i="2"/>
  <c r="L721" i="2"/>
  <c r="K721" i="2"/>
  <c r="J721" i="2"/>
  <c r="I721" i="2"/>
  <c r="L719" i="2"/>
  <c r="K719" i="2"/>
  <c r="J719" i="2"/>
  <c r="I719" i="2"/>
  <c r="L718" i="2"/>
  <c r="K718" i="2"/>
  <c r="J718" i="2"/>
  <c r="I718" i="2"/>
  <c r="L717" i="2"/>
  <c r="K717" i="2"/>
  <c r="J717" i="2"/>
  <c r="I717" i="2"/>
  <c r="L715" i="2"/>
  <c r="K715" i="2"/>
  <c r="J715" i="2"/>
  <c r="I715" i="2"/>
  <c r="L714" i="2"/>
  <c r="K714" i="2"/>
  <c r="J714" i="2"/>
  <c r="I714" i="2"/>
  <c r="L713" i="2"/>
  <c r="K713" i="2"/>
  <c r="J713" i="2"/>
  <c r="I713" i="2"/>
  <c r="L711" i="2"/>
  <c r="K711" i="2"/>
  <c r="J711" i="2"/>
  <c r="I711" i="2"/>
  <c r="L710" i="2"/>
  <c r="K710" i="2"/>
  <c r="J710" i="2"/>
  <c r="I710" i="2"/>
  <c r="L709" i="2"/>
  <c r="K709" i="2"/>
  <c r="J709" i="2"/>
  <c r="I709" i="2"/>
  <c r="L707" i="2"/>
  <c r="K707" i="2"/>
  <c r="J707" i="2"/>
  <c r="I707" i="2"/>
  <c r="L706" i="2"/>
  <c r="K706" i="2"/>
  <c r="J706" i="2"/>
  <c r="I706" i="2"/>
  <c r="L705" i="2"/>
  <c r="K705" i="2"/>
  <c r="J705" i="2"/>
  <c r="I705" i="2"/>
  <c r="L703" i="2"/>
  <c r="K703" i="2"/>
  <c r="J703" i="2"/>
  <c r="I703" i="2"/>
  <c r="L702" i="2"/>
  <c r="K702" i="2"/>
  <c r="J702" i="2"/>
  <c r="I702" i="2"/>
  <c r="L701" i="2"/>
  <c r="K701" i="2"/>
  <c r="J701" i="2"/>
  <c r="I701" i="2"/>
  <c r="L699" i="2"/>
  <c r="K699" i="2"/>
  <c r="J699" i="2"/>
  <c r="I699" i="2"/>
  <c r="L698" i="2"/>
  <c r="K698" i="2"/>
  <c r="J698" i="2"/>
  <c r="I698" i="2"/>
  <c r="L697" i="2"/>
  <c r="K697" i="2"/>
  <c r="J697" i="2"/>
  <c r="I697" i="2"/>
  <c r="L695" i="2"/>
  <c r="K695" i="2"/>
  <c r="J695" i="2"/>
  <c r="I695" i="2"/>
  <c r="L694" i="2"/>
  <c r="K694" i="2"/>
  <c r="J694" i="2"/>
  <c r="I694" i="2"/>
  <c r="L693" i="2"/>
  <c r="K693" i="2"/>
  <c r="J693" i="2"/>
  <c r="I693" i="2"/>
  <c r="L691" i="2"/>
  <c r="K691" i="2"/>
  <c r="J691" i="2"/>
  <c r="I691" i="2"/>
  <c r="L690" i="2"/>
  <c r="K690" i="2"/>
  <c r="J690" i="2"/>
  <c r="I690" i="2"/>
  <c r="L689" i="2"/>
  <c r="K689" i="2"/>
  <c r="J689" i="2"/>
  <c r="I689" i="2"/>
  <c r="L687" i="2"/>
  <c r="K687" i="2"/>
  <c r="J687" i="2"/>
  <c r="I687" i="2"/>
  <c r="L686" i="2"/>
  <c r="K686" i="2"/>
  <c r="J686" i="2"/>
  <c r="I686" i="2"/>
  <c r="L685" i="2"/>
  <c r="K685" i="2"/>
  <c r="J685" i="2"/>
  <c r="I685" i="2"/>
  <c r="L683" i="2"/>
  <c r="K683" i="2"/>
  <c r="J683" i="2"/>
  <c r="I683" i="2"/>
  <c r="L682" i="2"/>
  <c r="K682" i="2"/>
  <c r="J682" i="2"/>
  <c r="I682" i="2"/>
  <c r="L681" i="2"/>
  <c r="K681" i="2"/>
  <c r="J681" i="2"/>
  <c r="I681" i="2"/>
  <c r="L679" i="2"/>
  <c r="K679" i="2"/>
  <c r="J679" i="2"/>
  <c r="I679" i="2"/>
  <c r="L678" i="2"/>
  <c r="K678" i="2"/>
  <c r="J678" i="2"/>
  <c r="I678" i="2"/>
  <c r="L677" i="2"/>
  <c r="K677" i="2"/>
  <c r="J677" i="2"/>
  <c r="I677" i="2"/>
  <c r="L676" i="2"/>
  <c r="K676" i="2"/>
  <c r="J676" i="2"/>
  <c r="I676" i="2"/>
  <c r="L675" i="2"/>
  <c r="K675" i="2"/>
  <c r="J675" i="2"/>
  <c r="I675" i="2"/>
  <c r="L674" i="2"/>
  <c r="K674" i="2"/>
  <c r="J674" i="2"/>
  <c r="I674" i="2"/>
  <c r="L673" i="2"/>
  <c r="K673" i="2"/>
  <c r="J673" i="2"/>
  <c r="I673" i="2"/>
  <c r="L672" i="2"/>
  <c r="K672" i="2"/>
  <c r="J672" i="2"/>
  <c r="I672" i="2"/>
  <c r="L671" i="2"/>
  <c r="K671" i="2"/>
  <c r="J671" i="2"/>
  <c r="I671" i="2"/>
  <c r="L670" i="2"/>
  <c r="K670" i="2"/>
  <c r="J670" i="2"/>
  <c r="I670" i="2"/>
  <c r="L669" i="2"/>
  <c r="K669" i="2"/>
  <c r="J669" i="2"/>
  <c r="I669" i="2"/>
  <c r="L668" i="2"/>
  <c r="K668" i="2"/>
  <c r="J668" i="2"/>
  <c r="I668" i="2"/>
  <c r="L667" i="2"/>
  <c r="K667" i="2"/>
  <c r="J667" i="2"/>
  <c r="I667" i="2"/>
  <c r="L666" i="2"/>
  <c r="K666" i="2"/>
  <c r="J666" i="2"/>
  <c r="I666" i="2"/>
  <c r="L665" i="2"/>
  <c r="K665" i="2"/>
  <c r="J665" i="2"/>
  <c r="I665" i="2"/>
  <c r="L664" i="2"/>
  <c r="K664" i="2"/>
  <c r="J664" i="2"/>
  <c r="I664" i="2"/>
  <c r="L663" i="2"/>
  <c r="K663" i="2"/>
  <c r="J663" i="2"/>
  <c r="I663" i="2"/>
  <c r="L662" i="2"/>
  <c r="K662" i="2"/>
  <c r="J662" i="2"/>
  <c r="I662" i="2"/>
  <c r="L661" i="2"/>
  <c r="K661" i="2"/>
  <c r="J661" i="2"/>
  <c r="I661" i="2"/>
  <c r="L660" i="2"/>
  <c r="K660" i="2"/>
  <c r="J660" i="2"/>
  <c r="I660" i="2"/>
  <c r="L659" i="2"/>
  <c r="K659" i="2"/>
  <c r="J659" i="2"/>
  <c r="I659" i="2"/>
  <c r="L658" i="2"/>
  <c r="K658" i="2"/>
  <c r="J658" i="2"/>
  <c r="I658" i="2"/>
  <c r="L657" i="2"/>
  <c r="K657" i="2"/>
  <c r="J657" i="2"/>
  <c r="I657" i="2"/>
  <c r="L656" i="2"/>
  <c r="K656" i="2"/>
  <c r="J656" i="2"/>
  <c r="I656" i="2"/>
  <c r="L655" i="2"/>
  <c r="K655" i="2"/>
  <c r="J655" i="2"/>
  <c r="I655" i="2"/>
  <c r="L654" i="2"/>
  <c r="K654" i="2"/>
  <c r="J654" i="2"/>
  <c r="I654" i="2"/>
  <c r="L653" i="2"/>
  <c r="K653" i="2"/>
  <c r="J653" i="2"/>
  <c r="I653" i="2"/>
  <c r="L652" i="2"/>
  <c r="K652" i="2"/>
  <c r="J652" i="2"/>
  <c r="I652" i="2"/>
  <c r="L651" i="2"/>
  <c r="K651" i="2"/>
  <c r="J651" i="2"/>
  <c r="I651" i="2"/>
  <c r="L650" i="2"/>
  <c r="K650" i="2"/>
  <c r="J650" i="2"/>
  <c r="I650" i="2"/>
  <c r="L649" i="2"/>
  <c r="K649" i="2"/>
  <c r="J649" i="2"/>
  <c r="I649" i="2"/>
  <c r="L648" i="2"/>
  <c r="K648" i="2"/>
  <c r="J648" i="2"/>
  <c r="I648" i="2"/>
  <c r="L647" i="2"/>
  <c r="K647" i="2"/>
  <c r="J647" i="2"/>
  <c r="I647" i="2"/>
  <c r="L646" i="2"/>
  <c r="K646" i="2"/>
  <c r="J646" i="2"/>
  <c r="I646" i="2"/>
  <c r="L645" i="2"/>
  <c r="K645" i="2"/>
  <c r="J645" i="2"/>
  <c r="I645" i="2"/>
  <c r="L644" i="2"/>
  <c r="K644" i="2"/>
  <c r="J644" i="2"/>
  <c r="I644" i="2"/>
  <c r="L643" i="2"/>
  <c r="K643" i="2"/>
  <c r="J643" i="2"/>
  <c r="I643" i="2"/>
  <c r="L642" i="2"/>
  <c r="K642" i="2"/>
  <c r="J642" i="2"/>
  <c r="I642" i="2"/>
  <c r="L641" i="2"/>
  <c r="K641" i="2"/>
  <c r="J641" i="2"/>
  <c r="I641" i="2"/>
  <c r="L640" i="2"/>
  <c r="K640" i="2"/>
  <c r="J640" i="2"/>
  <c r="I640" i="2"/>
  <c r="L639" i="2"/>
  <c r="K639" i="2"/>
  <c r="J639" i="2"/>
  <c r="I639" i="2"/>
  <c r="L638" i="2"/>
  <c r="K638" i="2"/>
  <c r="J638" i="2"/>
  <c r="I638" i="2"/>
  <c r="L637" i="2"/>
  <c r="K637" i="2"/>
  <c r="J637" i="2"/>
  <c r="I637" i="2"/>
  <c r="L636" i="2"/>
  <c r="K636" i="2"/>
  <c r="J636" i="2"/>
  <c r="I636" i="2"/>
  <c r="L635" i="2"/>
  <c r="K635" i="2"/>
  <c r="J635" i="2"/>
  <c r="I635" i="2"/>
  <c r="L634" i="2"/>
  <c r="K634" i="2"/>
  <c r="J634" i="2"/>
  <c r="I634" i="2"/>
  <c r="L633" i="2"/>
  <c r="K633" i="2"/>
  <c r="J633" i="2"/>
  <c r="I633" i="2"/>
  <c r="L632" i="2"/>
  <c r="K632" i="2"/>
  <c r="J632" i="2"/>
  <c r="I632" i="2"/>
  <c r="L631" i="2"/>
  <c r="K631" i="2"/>
  <c r="J631" i="2"/>
  <c r="I631" i="2"/>
  <c r="L630" i="2"/>
  <c r="K630" i="2"/>
  <c r="J630" i="2"/>
  <c r="I630" i="2"/>
  <c r="L629" i="2"/>
  <c r="K629" i="2"/>
  <c r="J629" i="2"/>
  <c r="I629" i="2"/>
  <c r="L628" i="2"/>
  <c r="K628" i="2"/>
  <c r="J628" i="2"/>
  <c r="I628" i="2"/>
  <c r="L627" i="2"/>
  <c r="K627" i="2"/>
  <c r="J627" i="2"/>
  <c r="I627" i="2"/>
  <c r="L626" i="2"/>
  <c r="K626" i="2"/>
  <c r="J626" i="2"/>
  <c r="I626" i="2"/>
  <c r="L625" i="2"/>
  <c r="K625" i="2"/>
  <c r="J625" i="2"/>
  <c r="I625" i="2"/>
  <c r="L624" i="2"/>
  <c r="K624" i="2"/>
  <c r="J624" i="2"/>
  <c r="I624" i="2"/>
  <c r="L623" i="2"/>
  <c r="K623" i="2"/>
  <c r="J623" i="2"/>
  <c r="I623" i="2"/>
  <c r="L622" i="2"/>
  <c r="K622" i="2"/>
  <c r="J622" i="2"/>
  <c r="I622" i="2"/>
  <c r="L621" i="2"/>
  <c r="K621" i="2"/>
  <c r="J621" i="2"/>
  <c r="I621" i="2"/>
  <c r="L620" i="2"/>
  <c r="K620" i="2"/>
  <c r="J620" i="2"/>
  <c r="I620" i="2"/>
  <c r="L619" i="2"/>
  <c r="K619" i="2"/>
  <c r="J619" i="2"/>
  <c r="I619" i="2"/>
  <c r="L618" i="2"/>
  <c r="K618" i="2"/>
  <c r="J618" i="2"/>
  <c r="I618" i="2"/>
  <c r="L617" i="2"/>
  <c r="K617" i="2"/>
  <c r="J617" i="2"/>
  <c r="I617" i="2"/>
  <c r="L616" i="2"/>
  <c r="K616" i="2"/>
  <c r="J616" i="2"/>
  <c r="I616" i="2"/>
  <c r="L615" i="2"/>
  <c r="K615" i="2"/>
  <c r="J615" i="2"/>
  <c r="I615" i="2"/>
  <c r="L614" i="2"/>
  <c r="K614" i="2"/>
  <c r="J614" i="2"/>
  <c r="I614" i="2"/>
  <c r="L613" i="2"/>
  <c r="K613" i="2"/>
  <c r="J613" i="2"/>
  <c r="I613" i="2"/>
  <c r="L612" i="2"/>
  <c r="K612" i="2"/>
  <c r="J612" i="2"/>
  <c r="I612" i="2"/>
  <c r="L611" i="2"/>
  <c r="K611" i="2"/>
  <c r="J611" i="2"/>
  <c r="I611" i="2"/>
  <c r="L610" i="2"/>
  <c r="K610" i="2"/>
  <c r="J610" i="2"/>
  <c r="I610" i="2"/>
  <c r="L609" i="2"/>
  <c r="K609" i="2"/>
  <c r="J609" i="2"/>
  <c r="I609" i="2"/>
  <c r="L608" i="2"/>
  <c r="K608" i="2"/>
  <c r="J608" i="2"/>
  <c r="I608" i="2"/>
  <c r="L607" i="2"/>
  <c r="K607" i="2"/>
  <c r="J607" i="2"/>
  <c r="I607" i="2"/>
  <c r="L606" i="2"/>
  <c r="K606" i="2"/>
  <c r="J606" i="2"/>
  <c r="I606" i="2"/>
  <c r="L605" i="2"/>
  <c r="K605" i="2"/>
  <c r="J605" i="2"/>
  <c r="I605" i="2"/>
  <c r="L604" i="2"/>
  <c r="K604" i="2"/>
  <c r="J604" i="2"/>
  <c r="I604" i="2"/>
  <c r="L603" i="2"/>
  <c r="K603" i="2"/>
  <c r="J603" i="2"/>
  <c r="I603" i="2"/>
  <c r="L602" i="2"/>
  <c r="K602" i="2"/>
  <c r="J602" i="2"/>
  <c r="I602" i="2"/>
  <c r="L601" i="2"/>
  <c r="K601" i="2"/>
  <c r="J601" i="2"/>
  <c r="I601" i="2"/>
  <c r="L600" i="2"/>
  <c r="K600" i="2"/>
  <c r="J600" i="2"/>
  <c r="I600" i="2"/>
  <c r="L599" i="2"/>
  <c r="K599" i="2"/>
  <c r="J599" i="2"/>
  <c r="I599" i="2"/>
  <c r="L598" i="2"/>
  <c r="K598" i="2"/>
  <c r="J598" i="2"/>
  <c r="I598" i="2"/>
  <c r="L597" i="2"/>
  <c r="K597" i="2"/>
  <c r="J597" i="2"/>
  <c r="I597" i="2"/>
  <c r="L596" i="2"/>
  <c r="K596" i="2"/>
  <c r="J596" i="2"/>
  <c r="I596" i="2"/>
  <c r="L595" i="2"/>
  <c r="K595" i="2"/>
  <c r="J595" i="2"/>
  <c r="I595" i="2"/>
  <c r="L594" i="2"/>
  <c r="K594" i="2"/>
  <c r="J594" i="2"/>
  <c r="I594" i="2"/>
  <c r="L593" i="2"/>
  <c r="K593" i="2"/>
  <c r="J593" i="2"/>
  <c r="I593" i="2"/>
  <c r="L592" i="2"/>
  <c r="K592" i="2"/>
  <c r="J592" i="2"/>
  <c r="I592" i="2"/>
  <c r="L591" i="2"/>
  <c r="K591" i="2"/>
  <c r="J591" i="2"/>
  <c r="I591" i="2"/>
  <c r="L590" i="2"/>
  <c r="K590" i="2"/>
  <c r="J590" i="2"/>
  <c r="I590" i="2"/>
  <c r="L589" i="2"/>
  <c r="K589" i="2"/>
  <c r="J589" i="2"/>
  <c r="I589" i="2"/>
  <c r="L588" i="2"/>
  <c r="K588" i="2"/>
  <c r="J588" i="2"/>
  <c r="I588" i="2"/>
  <c r="L587" i="2"/>
  <c r="K587" i="2"/>
  <c r="J587" i="2"/>
  <c r="I587" i="2"/>
  <c r="L586" i="2"/>
  <c r="K586" i="2"/>
  <c r="J586" i="2"/>
  <c r="I586" i="2"/>
  <c r="L585" i="2"/>
  <c r="K585" i="2"/>
  <c r="J585" i="2"/>
  <c r="I585" i="2"/>
  <c r="L584" i="2"/>
  <c r="K584" i="2"/>
  <c r="J584" i="2"/>
  <c r="I584" i="2"/>
  <c r="L583" i="2"/>
  <c r="K583" i="2"/>
  <c r="J583" i="2"/>
  <c r="I583" i="2"/>
  <c r="L582" i="2"/>
  <c r="K582" i="2"/>
  <c r="J582" i="2"/>
  <c r="I582" i="2"/>
  <c r="L581" i="2"/>
  <c r="K581" i="2"/>
  <c r="J581" i="2"/>
  <c r="I581" i="2"/>
  <c r="L580" i="2"/>
  <c r="K580" i="2"/>
  <c r="J580" i="2"/>
  <c r="I580" i="2"/>
  <c r="L579" i="2"/>
  <c r="K579" i="2"/>
  <c r="J579" i="2"/>
  <c r="I579" i="2"/>
  <c r="L578" i="2"/>
  <c r="K578" i="2"/>
  <c r="J578" i="2"/>
  <c r="I578" i="2"/>
  <c r="L577" i="2"/>
  <c r="K577" i="2"/>
  <c r="J577" i="2"/>
  <c r="I577" i="2"/>
  <c r="L576" i="2"/>
  <c r="K576" i="2"/>
  <c r="J576" i="2"/>
  <c r="I576" i="2"/>
  <c r="L575" i="2"/>
  <c r="K575" i="2"/>
  <c r="J575" i="2"/>
  <c r="I575" i="2"/>
  <c r="L574" i="2"/>
  <c r="K574" i="2"/>
  <c r="J574" i="2"/>
  <c r="I574" i="2"/>
  <c r="L573" i="2"/>
  <c r="K573" i="2"/>
  <c r="J573" i="2"/>
  <c r="I573" i="2"/>
  <c r="L572" i="2"/>
  <c r="K572" i="2"/>
  <c r="J572" i="2"/>
  <c r="I572" i="2"/>
  <c r="L571" i="2"/>
  <c r="K571" i="2"/>
  <c r="J571" i="2"/>
  <c r="I571" i="2"/>
  <c r="L570" i="2"/>
  <c r="K570" i="2"/>
  <c r="J570" i="2"/>
  <c r="I570" i="2"/>
  <c r="L569" i="2"/>
  <c r="K569" i="2"/>
  <c r="J569" i="2"/>
  <c r="I569" i="2"/>
  <c r="L568" i="2"/>
  <c r="K568" i="2"/>
  <c r="J568" i="2"/>
  <c r="I568" i="2"/>
  <c r="L567" i="2"/>
  <c r="K567" i="2"/>
  <c r="J567" i="2"/>
  <c r="I567" i="2"/>
  <c r="L566" i="2"/>
  <c r="K566" i="2"/>
  <c r="J566" i="2"/>
  <c r="I566" i="2"/>
  <c r="L565" i="2"/>
  <c r="K565" i="2"/>
  <c r="J565" i="2"/>
  <c r="I565" i="2"/>
  <c r="L564" i="2"/>
  <c r="K564" i="2"/>
  <c r="J564" i="2"/>
  <c r="I564" i="2"/>
  <c r="L563" i="2"/>
  <c r="K563" i="2"/>
  <c r="J563" i="2"/>
  <c r="I563" i="2"/>
  <c r="L562" i="2"/>
  <c r="K562" i="2"/>
  <c r="J562" i="2"/>
  <c r="I562" i="2"/>
  <c r="L561" i="2"/>
  <c r="K561" i="2"/>
  <c r="J561" i="2"/>
  <c r="I561" i="2"/>
  <c r="L560" i="2"/>
  <c r="K560" i="2"/>
  <c r="J560" i="2"/>
  <c r="I560" i="2"/>
  <c r="L559" i="2"/>
  <c r="K559" i="2"/>
  <c r="J559" i="2"/>
  <c r="I559" i="2"/>
  <c r="L558" i="2"/>
  <c r="K558" i="2"/>
  <c r="J558" i="2"/>
  <c r="I558" i="2"/>
  <c r="L557" i="2"/>
  <c r="K557" i="2"/>
  <c r="J557" i="2"/>
  <c r="I557" i="2"/>
  <c r="L556" i="2"/>
  <c r="K556" i="2"/>
  <c r="J556" i="2"/>
  <c r="I556" i="2"/>
  <c r="L555" i="2"/>
  <c r="K555" i="2"/>
  <c r="J555" i="2"/>
  <c r="I555" i="2"/>
  <c r="L554" i="2"/>
  <c r="K554" i="2"/>
  <c r="J554" i="2"/>
  <c r="I554" i="2"/>
  <c r="L553" i="2"/>
  <c r="K553" i="2"/>
  <c r="J553" i="2"/>
  <c r="I553" i="2"/>
  <c r="L552" i="2"/>
  <c r="K552" i="2"/>
  <c r="J552" i="2"/>
  <c r="I552" i="2"/>
  <c r="L551" i="2"/>
  <c r="K551" i="2"/>
  <c r="J551" i="2"/>
  <c r="I551" i="2"/>
  <c r="L550" i="2"/>
  <c r="K550" i="2"/>
  <c r="J550" i="2"/>
  <c r="I550" i="2"/>
  <c r="L549" i="2"/>
  <c r="K549" i="2"/>
  <c r="J549" i="2"/>
  <c r="I549" i="2"/>
  <c r="L548" i="2"/>
  <c r="K548" i="2"/>
  <c r="J548" i="2"/>
  <c r="I548" i="2"/>
  <c r="L547" i="2"/>
  <c r="K547" i="2"/>
  <c r="J547" i="2"/>
  <c r="I547" i="2"/>
  <c r="L546" i="2"/>
  <c r="K546" i="2"/>
  <c r="J546" i="2"/>
  <c r="I546" i="2"/>
  <c r="L545" i="2"/>
  <c r="K545" i="2"/>
  <c r="J545" i="2"/>
  <c r="I545" i="2"/>
  <c r="L544" i="2"/>
  <c r="K544" i="2"/>
  <c r="J544" i="2"/>
  <c r="I544" i="2"/>
  <c r="L543" i="2"/>
  <c r="K543" i="2"/>
  <c r="J543" i="2"/>
  <c r="I543" i="2"/>
  <c r="L542" i="2"/>
  <c r="K542" i="2"/>
  <c r="J542" i="2"/>
  <c r="I542" i="2"/>
  <c r="L541" i="2"/>
  <c r="K541" i="2"/>
  <c r="J541" i="2"/>
  <c r="I541" i="2"/>
  <c r="L540" i="2"/>
  <c r="K540" i="2"/>
  <c r="J540" i="2"/>
  <c r="I540" i="2"/>
  <c r="L539" i="2"/>
  <c r="K539" i="2"/>
  <c r="J539" i="2"/>
  <c r="I539" i="2"/>
  <c r="L538" i="2"/>
  <c r="K538" i="2"/>
  <c r="J538" i="2"/>
  <c r="I538" i="2"/>
  <c r="L537" i="2"/>
  <c r="K537" i="2"/>
  <c r="J537" i="2"/>
  <c r="I537" i="2"/>
  <c r="L536" i="2"/>
  <c r="K536" i="2"/>
  <c r="J536" i="2"/>
  <c r="I536" i="2"/>
  <c r="L535" i="2"/>
  <c r="K535" i="2"/>
  <c r="J535" i="2"/>
  <c r="I535" i="2"/>
  <c r="L534" i="2"/>
  <c r="K534" i="2"/>
  <c r="J534" i="2"/>
  <c r="I534" i="2"/>
  <c r="L533" i="2"/>
  <c r="K533" i="2"/>
  <c r="J533" i="2"/>
  <c r="I533" i="2"/>
  <c r="L532" i="2"/>
  <c r="K532" i="2"/>
  <c r="J532" i="2"/>
  <c r="I532" i="2"/>
  <c r="L531" i="2"/>
  <c r="K531" i="2"/>
  <c r="J531" i="2"/>
  <c r="I531" i="2"/>
  <c r="L530" i="2"/>
  <c r="K530" i="2"/>
  <c r="J530" i="2"/>
  <c r="I530" i="2"/>
  <c r="L529" i="2"/>
  <c r="K529" i="2"/>
  <c r="J529" i="2"/>
  <c r="I529" i="2"/>
  <c r="L528" i="2"/>
  <c r="K528" i="2"/>
  <c r="J528" i="2"/>
  <c r="I528" i="2"/>
  <c r="L527" i="2"/>
  <c r="K527" i="2"/>
  <c r="J527" i="2"/>
  <c r="I527" i="2"/>
  <c r="L526" i="2"/>
  <c r="K526" i="2"/>
  <c r="J526" i="2"/>
  <c r="I526" i="2"/>
  <c r="L525" i="2"/>
  <c r="K525" i="2"/>
  <c r="J525" i="2"/>
  <c r="I525" i="2"/>
  <c r="L524" i="2"/>
  <c r="K524" i="2"/>
  <c r="J524" i="2"/>
  <c r="I524" i="2"/>
  <c r="L523" i="2"/>
  <c r="K523" i="2"/>
  <c r="J523" i="2"/>
  <c r="I523" i="2"/>
  <c r="L522" i="2"/>
  <c r="K522" i="2"/>
  <c r="J522" i="2"/>
  <c r="I522" i="2"/>
  <c r="L521" i="2"/>
  <c r="K521" i="2"/>
  <c r="J521" i="2"/>
  <c r="I521" i="2"/>
  <c r="L520" i="2"/>
  <c r="K520" i="2"/>
  <c r="J520" i="2"/>
  <c r="I520" i="2"/>
  <c r="L519" i="2"/>
  <c r="K519" i="2"/>
  <c r="J519" i="2"/>
  <c r="I519" i="2"/>
  <c r="L518" i="2"/>
  <c r="K518" i="2"/>
  <c r="J518" i="2"/>
  <c r="I518" i="2"/>
  <c r="L517" i="2"/>
  <c r="K517" i="2"/>
  <c r="J517" i="2"/>
  <c r="I517" i="2"/>
  <c r="L516" i="2"/>
  <c r="K516" i="2"/>
  <c r="J516" i="2"/>
  <c r="I516" i="2"/>
  <c r="L515" i="2"/>
  <c r="K515" i="2"/>
  <c r="J515" i="2"/>
  <c r="I515" i="2"/>
  <c r="L514" i="2"/>
  <c r="K514" i="2"/>
  <c r="J514" i="2"/>
  <c r="I514" i="2"/>
  <c r="L513" i="2"/>
  <c r="K513" i="2"/>
  <c r="J513" i="2"/>
  <c r="I513" i="2"/>
  <c r="L512" i="2"/>
  <c r="K512" i="2"/>
  <c r="J512" i="2"/>
  <c r="I512" i="2"/>
  <c r="L511" i="2"/>
  <c r="K511" i="2"/>
  <c r="J511" i="2"/>
  <c r="I511" i="2"/>
  <c r="L510" i="2"/>
  <c r="K510" i="2"/>
  <c r="J510" i="2"/>
  <c r="I510" i="2"/>
  <c r="L509" i="2"/>
  <c r="K509" i="2"/>
  <c r="J509" i="2"/>
  <c r="I509" i="2"/>
  <c r="L508" i="2"/>
  <c r="K508" i="2"/>
  <c r="J508" i="2"/>
  <c r="I508" i="2"/>
  <c r="L507" i="2"/>
  <c r="K507" i="2"/>
  <c r="J507" i="2"/>
  <c r="I507" i="2"/>
  <c r="L506" i="2"/>
  <c r="K506" i="2"/>
  <c r="J506" i="2"/>
  <c r="I506" i="2"/>
  <c r="L505" i="2"/>
  <c r="K505" i="2"/>
  <c r="J505" i="2"/>
  <c r="I505" i="2"/>
  <c r="L504" i="2"/>
  <c r="K504" i="2"/>
  <c r="J504" i="2"/>
  <c r="I504" i="2"/>
  <c r="L503" i="2"/>
  <c r="K503" i="2"/>
  <c r="J503" i="2"/>
  <c r="I503" i="2"/>
  <c r="L502" i="2"/>
  <c r="K502" i="2"/>
  <c r="J502" i="2"/>
  <c r="I502" i="2"/>
  <c r="L501" i="2"/>
  <c r="K501" i="2"/>
  <c r="J501" i="2"/>
  <c r="I501" i="2"/>
  <c r="L500" i="2"/>
  <c r="K500" i="2"/>
  <c r="J500" i="2"/>
  <c r="I500" i="2"/>
  <c r="L499" i="2"/>
  <c r="K499" i="2"/>
  <c r="J499" i="2"/>
  <c r="I499" i="2"/>
  <c r="L498" i="2"/>
  <c r="K498" i="2"/>
  <c r="J498" i="2"/>
  <c r="I498" i="2"/>
  <c r="L497" i="2"/>
  <c r="K497" i="2"/>
  <c r="J497" i="2"/>
  <c r="I497" i="2"/>
  <c r="L496" i="2"/>
  <c r="K496" i="2"/>
  <c r="J496" i="2"/>
  <c r="I496" i="2"/>
  <c r="L495" i="2"/>
  <c r="K495" i="2"/>
  <c r="J495" i="2"/>
  <c r="I495" i="2"/>
  <c r="L494" i="2"/>
  <c r="K494" i="2"/>
  <c r="J494" i="2"/>
  <c r="I494" i="2"/>
  <c r="L493" i="2"/>
  <c r="K493" i="2"/>
  <c r="J493" i="2"/>
  <c r="I493" i="2"/>
  <c r="L492" i="2"/>
  <c r="K492" i="2"/>
  <c r="J492" i="2"/>
  <c r="I492" i="2"/>
  <c r="L491" i="2"/>
  <c r="K491" i="2"/>
  <c r="J491" i="2"/>
  <c r="I491" i="2"/>
  <c r="L490" i="2"/>
  <c r="K490" i="2"/>
  <c r="J490" i="2"/>
  <c r="I490" i="2"/>
  <c r="L489" i="2"/>
  <c r="K489" i="2"/>
  <c r="J489" i="2"/>
  <c r="I489" i="2"/>
  <c r="L488" i="2"/>
  <c r="K488" i="2"/>
  <c r="J488" i="2"/>
  <c r="I488" i="2"/>
  <c r="L487" i="2"/>
  <c r="K487" i="2"/>
  <c r="J487" i="2"/>
  <c r="I487" i="2"/>
  <c r="L486" i="2"/>
  <c r="K486" i="2"/>
  <c r="J486" i="2"/>
  <c r="I486" i="2"/>
  <c r="L485" i="2"/>
  <c r="K485" i="2"/>
  <c r="J485" i="2"/>
  <c r="I485" i="2"/>
  <c r="L484" i="2"/>
  <c r="K484" i="2"/>
  <c r="J484" i="2"/>
  <c r="I484" i="2"/>
  <c r="L483" i="2"/>
  <c r="K483" i="2"/>
  <c r="J483" i="2"/>
  <c r="I483" i="2"/>
  <c r="L482" i="2"/>
  <c r="K482" i="2"/>
  <c r="J482" i="2"/>
  <c r="I482" i="2"/>
  <c r="L481" i="2"/>
  <c r="K481" i="2"/>
  <c r="J481" i="2"/>
  <c r="I481" i="2"/>
  <c r="L480" i="2"/>
  <c r="K480" i="2"/>
  <c r="J480" i="2"/>
  <c r="I480" i="2"/>
  <c r="L479" i="2"/>
  <c r="K479" i="2"/>
  <c r="J479" i="2"/>
  <c r="I479" i="2"/>
  <c r="L478" i="2"/>
  <c r="K478" i="2"/>
  <c r="J478" i="2"/>
  <c r="I478" i="2"/>
  <c r="L477" i="2"/>
  <c r="K477" i="2"/>
  <c r="J477" i="2"/>
  <c r="I477" i="2"/>
  <c r="L476" i="2"/>
  <c r="K476" i="2"/>
  <c r="J476" i="2"/>
  <c r="I476" i="2"/>
  <c r="L475" i="2"/>
  <c r="K475" i="2"/>
  <c r="J475" i="2"/>
  <c r="I475" i="2"/>
  <c r="L474" i="2"/>
  <c r="K474" i="2"/>
  <c r="J474" i="2"/>
  <c r="I474" i="2"/>
  <c r="L473" i="2"/>
  <c r="K473" i="2"/>
  <c r="J473" i="2"/>
  <c r="I473" i="2"/>
  <c r="L472" i="2"/>
  <c r="K472" i="2"/>
  <c r="J472" i="2"/>
  <c r="I472" i="2"/>
  <c r="L471" i="2"/>
  <c r="K471" i="2"/>
  <c r="J471" i="2"/>
  <c r="I471" i="2"/>
  <c r="L470" i="2"/>
  <c r="K470" i="2"/>
  <c r="J470" i="2"/>
  <c r="I470" i="2"/>
  <c r="L469" i="2"/>
  <c r="K469" i="2"/>
  <c r="J469" i="2"/>
  <c r="I469" i="2"/>
  <c r="L468" i="2"/>
  <c r="K468" i="2"/>
  <c r="J468" i="2"/>
  <c r="I468" i="2"/>
  <c r="L467" i="2"/>
  <c r="K467" i="2"/>
  <c r="J467" i="2"/>
  <c r="I467" i="2"/>
  <c r="L466" i="2"/>
  <c r="K466" i="2"/>
  <c r="J466" i="2"/>
  <c r="I466" i="2"/>
  <c r="L465" i="2"/>
  <c r="K465" i="2"/>
  <c r="J465" i="2"/>
  <c r="I465" i="2"/>
  <c r="L464" i="2"/>
  <c r="K464" i="2"/>
  <c r="J464" i="2"/>
  <c r="I464" i="2"/>
  <c r="L463" i="2"/>
  <c r="K463" i="2"/>
  <c r="J463" i="2"/>
  <c r="I463" i="2"/>
  <c r="L462" i="2"/>
  <c r="K462" i="2"/>
  <c r="J462" i="2"/>
  <c r="I462" i="2"/>
  <c r="L461" i="2"/>
  <c r="K461" i="2"/>
  <c r="J461" i="2"/>
  <c r="I461" i="2"/>
  <c r="L460" i="2"/>
  <c r="K460" i="2"/>
  <c r="J460" i="2"/>
  <c r="I460" i="2"/>
  <c r="L459" i="2"/>
  <c r="K459" i="2"/>
  <c r="J459" i="2"/>
  <c r="I459" i="2"/>
  <c r="L458" i="2"/>
  <c r="K458" i="2"/>
  <c r="J458" i="2"/>
  <c r="I458" i="2"/>
  <c r="L457" i="2"/>
  <c r="K457" i="2"/>
  <c r="J457" i="2"/>
  <c r="I457" i="2"/>
  <c r="L456" i="2"/>
  <c r="K456" i="2"/>
  <c r="J456" i="2"/>
  <c r="I456" i="2"/>
  <c r="L455" i="2"/>
  <c r="K455" i="2"/>
  <c r="J455" i="2"/>
  <c r="I455" i="2"/>
  <c r="L454" i="2"/>
  <c r="K454" i="2"/>
  <c r="J454" i="2"/>
  <c r="I454" i="2"/>
  <c r="L453" i="2"/>
  <c r="K453" i="2"/>
  <c r="J453" i="2"/>
  <c r="I453" i="2"/>
  <c r="L452" i="2"/>
  <c r="K452" i="2"/>
  <c r="J452" i="2"/>
  <c r="I452" i="2"/>
  <c r="L451" i="2"/>
  <c r="K451" i="2"/>
  <c r="J451" i="2"/>
  <c r="I451" i="2"/>
  <c r="L450" i="2"/>
  <c r="K450" i="2"/>
  <c r="J450" i="2"/>
  <c r="I450" i="2"/>
  <c r="L449" i="2"/>
  <c r="K449" i="2"/>
  <c r="J449" i="2"/>
  <c r="I449" i="2"/>
  <c r="L448" i="2"/>
  <c r="K448" i="2"/>
  <c r="J448" i="2"/>
  <c r="I448" i="2"/>
  <c r="L447" i="2"/>
  <c r="K447" i="2"/>
  <c r="J447" i="2"/>
  <c r="I447" i="2"/>
  <c r="L446" i="2"/>
  <c r="K446" i="2"/>
  <c r="J446" i="2"/>
  <c r="I446" i="2"/>
  <c r="L445" i="2"/>
  <c r="K445" i="2"/>
  <c r="J445" i="2"/>
  <c r="I445" i="2"/>
  <c r="L444" i="2"/>
  <c r="K444" i="2"/>
  <c r="J444" i="2"/>
  <c r="I444" i="2"/>
  <c r="L443" i="2"/>
  <c r="K443" i="2"/>
  <c r="J443" i="2"/>
  <c r="I443" i="2"/>
  <c r="L442" i="2"/>
  <c r="K442" i="2"/>
  <c r="J442" i="2"/>
  <c r="I442" i="2"/>
  <c r="L441" i="2"/>
  <c r="K441" i="2"/>
  <c r="J441" i="2"/>
  <c r="I441" i="2"/>
  <c r="L440" i="2"/>
  <c r="K440" i="2"/>
  <c r="J440" i="2"/>
  <c r="I440" i="2"/>
  <c r="L439" i="2"/>
  <c r="K439" i="2"/>
  <c r="J439" i="2"/>
  <c r="I439" i="2"/>
  <c r="L438" i="2"/>
  <c r="K438" i="2"/>
  <c r="J438" i="2"/>
  <c r="I438" i="2"/>
  <c r="L437" i="2"/>
  <c r="K437" i="2"/>
  <c r="J437" i="2"/>
  <c r="I437" i="2"/>
  <c r="L436" i="2"/>
  <c r="K436" i="2"/>
  <c r="J436" i="2"/>
  <c r="I436" i="2"/>
  <c r="L435" i="2"/>
  <c r="K435" i="2"/>
  <c r="J435" i="2"/>
  <c r="I435" i="2"/>
  <c r="L434" i="2"/>
  <c r="K434" i="2"/>
  <c r="J434" i="2"/>
  <c r="I434" i="2"/>
  <c r="L433" i="2"/>
  <c r="K433" i="2"/>
  <c r="J433" i="2"/>
  <c r="I433" i="2"/>
  <c r="L432" i="2"/>
  <c r="K432" i="2"/>
  <c r="J432" i="2"/>
  <c r="I432" i="2"/>
  <c r="L431" i="2"/>
  <c r="K431" i="2"/>
  <c r="J431" i="2"/>
  <c r="I431" i="2"/>
  <c r="L430" i="2"/>
  <c r="K430" i="2"/>
  <c r="J430" i="2"/>
  <c r="I430" i="2"/>
  <c r="L429" i="2"/>
  <c r="K429" i="2"/>
  <c r="J429" i="2"/>
  <c r="I429" i="2"/>
  <c r="L428" i="2"/>
  <c r="K428" i="2"/>
  <c r="J428" i="2"/>
  <c r="I428" i="2"/>
  <c r="L427" i="2"/>
  <c r="K427" i="2"/>
  <c r="J427" i="2"/>
  <c r="I427" i="2"/>
  <c r="L426" i="2"/>
  <c r="K426" i="2"/>
  <c r="J426" i="2"/>
  <c r="I426" i="2"/>
  <c r="L425" i="2"/>
  <c r="K425" i="2"/>
  <c r="J425" i="2"/>
  <c r="I425" i="2"/>
  <c r="L424" i="2"/>
  <c r="K424" i="2"/>
  <c r="J424" i="2"/>
  <c r="I424" i="2"/>
  <c r="L423" i="2"/>
  <c r="K423" i="2"/>
  <c r="J423" i="2"/>
  <c r="I423" i="2"/>
  <c r="L422" i="2"/>
  <c r="K422" i="2"/>
  <c r="J422" i="2"/>
  <c r="I422" i="2"/>
  <c r="L421" i="2"/>
  <c r="K421" i="2"/>
  <c r="J421" i="2"/>
  <c r="I421" i="2"/>
  <c r="L420" i="2"/>
  <c r="K420" i="2"/>
  <c r="J420" i="2"/>
  <c r="I420" i="2"/>
  <c r="L419" i="2"/>
  <c r="K419" i="2"/>
  <c r="J419" i="2"/>
  <c r="I419" i="2"/>
  <c r="L418" i="2"/>
  <c r="K418" i="2"/>
  <c r="J418" i="2"/>
  <c r="I418" i="2"/>
  <c r="L417" i="2"/>
  <c r="K417" i="2"/>
  <c r="J417" i="2"/>
  <c r="I417" i="2"/>
  <c r="L416" i="2"/>
  <c r="K416" i="2"/>
  <c r="J416" i="2"/>
  <c r="I416" i="2"/>
  <c r="L415" i="2"/>
  <c r="K415" i="2"/>
  <c r="J415" i="2"/>
  <c r="I415" i="2"/>
  <c r="L414" i="2"/>
  <c r="K414" i="2"/>
  <c r="J414" i="2"/>
  <c r="I414" i="2"/>
  <c r="L413" i="2"/>
  <c r="K413" i="2"/>
  <c r="J413" i="2"/>
  <c r="I413" i="2"/>
  <c r="L412" i="2"/>
  <c r="K412" i="2"/>
  <c r="J412" i="2"/>
  <c r="I412" i="2"/>
  <c r="L411" i="2"/>
  <c r="K411" i="2"/>
  <c r="J411" i="2"/>
  <c r="I411" i="2"/>
  <c r="L410" i="2"/>
  <c r="K410" i="2"/>
  <c r="J410" i="2"/>
  <c r="I410" i="2"/>
  <c r="L409" i="2"/>
  <c r="K409" i="2"/>
  <c r="J409" i="2"/>
  <c r="I409" i="2"/>
  <c r="L408" i="2"/>
  <c r="K408" i="2"/>
  <c r="J408" i="2"/>
  <c r="I408" i="2"/>
  <c r="L407" i="2"/>
  <c r="K407" i="2"/>
  <c r="J407" i="2"/>
  <c r="I407" i="2"/>
  <c r="L406" i="2"/>
  <c r="K406" i="2"/>
  <c r="J406" i="2"/>
  <c r="I406" i="2"/>
  <c r="L405" i="2"/>
  <c r="K405" i="2"/>
  <c r="J405" i="2"/>
  <c r="I405" i="2"/>
  <c r="L404" i="2"/>
  <c r="K404" i="2"/>
  <c r="J404" i="2"/>
  <c r="I404" i="2"/>
  <c r="L403" i="2"/>
  <c r="K403" i="2"/>
  <c r="J403" i="2"/>
  <c r="I403" i="2"/>
  <c r="L402" i="2"/>
  <c r="K402" i="2"/>
  <c r="J402" i="2"/>
  <c r="I402" i="2"/>
  <c r="L401" i="2"/>
  <c r="K401" i="2"/>
  <c r="J401" i="2"/>
  <c r="I401" i="2"/>
  <c r="L400" i="2"/>
  <c r="K400" i="2"/>
  <c r="J400" i="2"/>
  <c r="I400" i="2"/>
  <c r="L399" i="2"/>
  <c r="K399" i="2"/>
  <c r="J399" i="2"/>
  <c r="I399" i="2"/>
  <c r="L398" i="2"/>
  <c r="K398" i="2"/>
  <c r="J398" i="2"/>
  <c r="I398" i="2"/>
  <c r="L397" i="2"/>
  <c r="K397" i="2"/>
  <c r="J397" i="2"/>
  <c r="I397" i="2"/>
  <c r="L396" i="2"/>
  <c r="K396" i="2"/>
  <c r="J396" i="2"/>
  <c r="I396" i="2"/>
  <c r="L395" i="2"/>
  <c r="K395" i="2"/>
  <c r="J395" i="2"/>
  <c r="I395" i="2"/>
  <c r="L394" i="2"/>
  <c r="K394" i="2"/>
  <c r="J394" i="2"/>
  <c r="I394" i="2"/>
  <c r="L393" i="2"/>
  <c r="K393" i="2"/>
  <c r="J393" i="2"/>
  <c r="I393" i="2"/>
  <c r="L392" i="2"/>
  <c r="K392" i="2"/>
  <c r="J392" i="2"/>
  <c r="I392" i="2"/>
  <c r="L391" i="2"/>
  <c r="K391" i="2"/>
  <c r="J391" i="2"/>
  <c r="I391" i="2"/>
  <c r="L390" i="2"/>
  <c r="K390" i="2"/>
  <c r="J390" i="2"/>
  <c r="I390" i="2"/>
  <c r="L389" i="2"/>
  <c r="K389" i="2"/>
  <c r="J389" i="2"/>
  <c r="I389" i="2"/>
  <c r="L388" i="2"/>
  <c r="K388" i="2"/>
  <c r="J388" i="2"/>
  <c r="I388" i="2"/>
  <c r="L387" i="2"/>
  <c r="K387" i="2"/>
  <c r="J387" i="2"/>
  <c r="I387" i="2"/>
  <c r="L386" i="2"/>
  <c r="K386" i="2"/>
  <c r="J386" i="2"/>
  <c r="I386" i="2"/>
  <c r="L385" i="2"/>
  <c r="K385" i="2"/>
  <c r="J385" i="2"/>
  <c r="I385" i="2"/>
  <c r="L384" i="2"/>
  <c r="K384" i="2"/>
  <c r="J384" i="2"/>
  <c r="I384" i="2"/>
  <c r="L383" i="2"/>
  <c r="K383" i="2"/>
  <c r="J383" i="2"/>
  <c r="I383" i="2"/>
  <c r="L382" i="2"/>
  <c r="K382" i="2"/>
  <c r="J382" i="2"/>
  <c r="I382" i="2"/>
  <c r="L381" i="2"/>
  <c r="K381" i="2"/>
  <c r="J381" i="2"/>
  <c r="I381" i="2"/>
  <c r="L380" i="2"/>
  <c r="K380" i="2"/>
  <c r="J380" i="2"/>
  <c r="I380" i="2"/>
  <c r="L379" i="2"/>
  <c r="K379" i="2"/>
  <c r="J379" i="2"/>
  <c r="I379" i="2"/>
  <c r="L378" i="2"/>
  <c r="K378" i="2"/>
  <c r="J378" i="2"/>
  <c r="I378" i="2"/>
  <c r="L377" i="2"/>
  <c r="K377" i="2"/>
  <c r="J377" i="2"/>
  <c r="I377" i="2"/>
  <c r="L376" i="2"/>
  <c r="K376" i="2"/>
  <c r="J376" i="2"/>
  <c r="I376" i="2"/>
  <c r="L375" i="2"/>
  <c r="K375" i="2"/>
  <c r="J375" i="2"/>
  <c r="I375" i="2"/>
  <c r="L374" i="2"/>
  <c r="K374" i="2"/>
  <c r="J374" i="2"/>
  <c r="I374" i="2"/>
  <c r="L373" i="2"/>
  <c r="K373" i="2"/>
  <c r="J373" i="2"/>
  <c r="I373" i="2"/>
  <c r="L372" i="2"/>
  <c r="K372" i="2"/>
  <c r="J372" i="2"/>
  <c r="I372" i="2"/>
  <c r="L371" i="2"/>
  <c r="K371" i="2"/>
  <c r="J371" i="2"/>
  <c r="I371" i="2"/>
  <c r="L370" i="2"/>
  <c r="K370" i="2"/>
  <c r="J370" i="2"/>
  <c r="I370" i="2"/>
  <c r="L369" i="2"/>
  <c r="K369" i="2"/>
  <c r="J369" i="2"/>
  <c r="I369" i="2"/>
  <c r="L368" i="2"/>
  <c r="K368" i="2"/>
  <c r="J368" i="2"/>
  <c r="I368" i="2"/>
  <c r="L367" i="2"/>
  <c r="K367" i="2"/>
  <c r="J367" i="2"/>
  <c r="I367" i="2"/>
  <c r="L366" i="2"/>
  <c r="K366" i="2"/>
  <c r="J366" i="2"/>
  <c r="I366" i="2"/>
  <c r="L365" i="2"/>
  <c r="K365" i="2"/>
  <c r="J365" i="2"/>
  <c r="I365" i="2"/>
  <c r="L364" i="2"/>
  <c r="K364" i="2"/>
  <c r="J364" i="2"/>
  <c r="I364" i="2"/>
  <c r="L363" i="2"/>
  <c r="K363" i="2"/>
  <c r="J363" i="2"/>
  <c r="I363" i="2"/>
  <c r="L362" i="2"/>
  <c r="K362" i="2"/>
  <c r="J362" i="2"/>
  <c r="I362" i="2"/>
  <c r="L361" i="2"/>
  <c r="K361" i="2"/>
  <c r="J361" i="2"/>
  <c r="I361" i="2"/>
  <c r="L360" i="2"/>
  <c r="K360" i="2"/>
  <c r="J360" i="2"/>
  <c r="I360" i="2"/>
  <c r="L359" i="2"/>
  <c r="K359" i="2"/>
  <c r="J359" i="2"/>
  <c r="I359" i="2"/>
  <c r="L358" i="2"/>
  <c r="K358" i="2"/>
  <c r="J358" i="2"/>
  <c r="I358" i="2"/>
  <c r="L357" i="2"/>
  <c r="K357" i="2"/>
  <c r="J357" i="2"/>
  <c r="I357" i="2"/>
  <c r="L356" i="2"/>
  <c r="K356" i="2"/>
  <c r="J356" i="2"/>
  <c r="I356" i="2"/>
  <c r="L355" i="2"/>
  <c r="K355" i="2"/>
  <c r="J355" i="2"/>
  <c r="I355" i="2"/>
  <c r="L354" i="2"/>
  <c r="K354" i="2"/>
  <c r="J354" i="2"/>
  <c r="I354" i="2"/>
  <c r="L353" i="2"/>
  <c r="K353" i="2"/>
  <c r="J353" i="2"/>
  <c r="I353" i="2"/>
  <c r="L352" i="2"/>
  <c r="K352" i="2"/>
  <c r="J352" i="2"/>
  <c r="I352" i="2"/>
  <c r="L351" i="2"/>
  <c r="K351" i="2"/>
  <c r="J351" i="2"/>
  <c r="I351" i="2"/>
  <c r="L350" i="2"/>
  <c r="K350" i="2"/>
  <c r="J350" i="2"/>
  <c r="I350" i="2"/>
  <c r="L349" i="2"/>
  <c r="K349" i="2"/>
  <c r="J349" i="2"/>
  <c r="I349" i="2"/>
  <c r="L348" i="2"/>
  <c r="K348" i="2"/>
  <c r="J348" i="2"/>
  <c r="I348" i="2"/>
  <c r="L347" i="2"/>
  <c r="K347" i="2"/>
  <c r="J347" i="2"/>
  <c r="I347" i="2"/>
  <c r="L346" i="2"/>
  <c r="K346" i="2"/>
  <c r="J346" i="2"/>
  <c r="I346" i="2"/>
  <c r="L345" i="2"/>
  <c r="K345" i="2"/>
  <c r="J345" i="2"/>
  <c r="I345" i="2"/>
  <c r="L344" i="2"/>
  <c r="K344" i="2"/>
  <c r="J344" i="2"/>
  <c r="I344" i="2"/>
  <c r="L343" i="2"/>
  <c r="K343" i="2"/>
  <c r="J343" i="2"/>
  <c r="I343" i="2"/>
  <c r="L342" i="2"/>
  <c r="K342" i="2"/>
  <c r="J342" i="2"/>
  <c r="I342" i="2"/>
  <c r="L341" i="2"/>
  <c r="K341" i="2"/>
  <c r="J341" i="2"/>
  <c r="I341" i="2"/>
  <c r="L340" i="2"/>
  <c r="K340" i="2"/>
  <c r="J340" i="2"/>
  <c r="I340" i="2"/>
  <c r="L339" i="2"/>
  <c r="K339" i="2"/>
  <c r="J339" i="2"/>
  <c r="I339" i="2"/>
  <c r="L338" i="2"/>
  <c r="K338" i="2"/>
  <c r="J338" i="2"/>
  <c r="I338" i="2"/>
  <c r="L337" i="2"/>
  <c r="K337" i="2"/>
  <c r="J337" i="2"/>
  <c r="I337" i="2"/>
  <c r="L336" i="2"/>
  <c r="K336" i="2"/>
  <c r="J336" i="2"/>
  <c r="I336" i="2"/>
  <c r="L335" i="2"/>
  <c r="K335" i="2"/>
  <c r="J335" i="2"/>
  <c r="I335" i="2"/>
  <c r="L334" i="2"/>
  <c r="K334" i="2"/>
  <c r="J334" i="2"/>
  <c r="I334" i="2"/>
  <c r="L333" i="2"/>
  <c r="K333" i="2"/>
  <c r="J333" i="2"/>
  <c r="I333" i="2"/>
  <c r="L332" i="2"/>
  <c r="K332" i="2"/>
  <c r="J332" i="2"/>
  <c r="I332" i="2"/>
  <c r="L331" i="2"/>
  <c r="K331" i="2"/>
  <c r="J331" i="2"/>
  <c r="I331" i="2"/>
  <c r="L330" i="2"/>
  <c r="K330" i="2"/>
  <c r="J330" i="2"/>
  <c r="I330" i="2"/>
  <c r="L329" i="2"/>
  <c r="K329" i="2"/>
  <c r="J329" i="2"/>
  <c r="I329" i="2"/>
  <c r="L328" i="2"/>
  <c r="K328" i="2"/>
  <c r="J328" i="2"/>
  <c r="I328" i="2"/>
  <c r="L327" i="2"/>
  <c r="K327" i="2"/>
  <c r="J327" i="2"/>
  <c r="I327" i="2"/>
  <c r="L326" i="2"/>
  <c r="K326" i="2"/>
  <c r="J326" i="2"/>
  <c r="I326" i="2"/>
  <c r="L325" i="2"/>
  <c r="K325" i="2"/>
  <c r="J325" i="2"/>
  <c r="I325" i="2"/>
  <c r="L324" i="2"/>
  <c r="K324" i="2"/>
  <c r="J324" i="2"/>
  <c r="I324" i="2"/>
  <c r="L323" i="2"/>
  <c r="K323" i="2"/>
  <c r="J323" i="2"/>
  <c r="I323" i="2"/>
  <c r="L322" i="2"/>
  <c r="K322" i="2"/>
  <c r="J322" i="2"/>
  <c r="I322" i="2"/>
  <c r="L321" i="2"/>
  <c r="K321" i="2"/>
  <c r="J321" i="2"/>
  <c r="I321" i="2"/>
  <c r="L320" i="2"/>
  <c r="K320" i="2"/>
  <c r="J320" i="2"/>
  <c r="I320" i="2"/>
  <c r="L319" i="2"/>
  <c r="K319" i="2"/>
  <c r="J319" i="2"/>
  <c r="I319" i="2"/>
  <c r="L318" i="2"/>
  <c r="K318" i="2"/>
  <c r="J318" i="2"/>
  <c r="I318" i="2"/>
  <c r="L317" i="2"/>
  <c r="K317" i="2"/>
  <c r="J317" i="2"/>
  <c r="I317" i="2"/>
  <c r="L316" i="2"/>
  <c r="K316" i="2"/>
  <c r="J316" i="2"/>
  <c r="I316" i="2"/>
  <c r="L315" i="2"/>
  <c r="K315" i="2"/>
  <c r="J315" i="2"/>
  <c r="I315" i="2"/>
  <c r="L314" i="2"/>
  <c r="K314" i="2"/>
  <c r="J314" i="2"/>
  <c r="I314" i="2"/>
  <c r="L313" i="2"/>
  <c r="K313" i="2"/>
  <c r="J313" i="2"/>
  <c r="I313" i="2"/>
  <c r="L312" i="2"/>
  <c r="K312" i="2"/>
  <c r="J312" i="2"/>
  <c r="I312" i="2"/>
  <c r="L311" i="2"/>
  <c r="K311" i="2"/>
  <c r="J311" i="2"/>
  <c r="I311" i="2"/>
  <c r="L310" i="2"/>
  <c r="K310" i="2"/>
  <c r="J310" i="2"/>
  <c r="I310" i="2"/>
  <c r="L309" i="2"/>
  <c r="K309" i="2"/>
  <c r="J309" i="2"/>
  <c r="I309" i="2"/>
  <c r="L308" i="2"/>
  <c r="K308" i="2"/>
  <c r="J308" i="2"/>
  <c r="I308" i="2"/>
  <c r="L307" i="2"/>
  <c r="K307" i="2"/>
  <c r="J307" i="2"/>
  <c r="I307" i="2"/>
  <c r="L306" i="2"/>
  <c r="K306" i="2"/>
  <c r="J306" i="2"/>
  <c r="I306" i="2"/>
  <c r="L305" i="2"/>
  <c r="K305" i="2"/>
  <c r="J305" i="2"/>
  <c r="I305" i="2"/>
  <c r="L304" i="2"/>
  <c r="K304" i="2"/>
  <c r="J304" i="2"/>
  <c r="I304" i="2"/>
  <c r="L303" i="2"/>
  <c r="K303" i="2"/>
  <c r="J303" i="2"/>
  <c r="I303" i="2"/>
  <c r="L302" i="2"/>
  <c r="K302" i="2"/>
  <c r="J302" i="2"/>
  <c r="I302" i="2"/>
  <c r="L301" i="2"/>
  <c r="K301" i="2"/>
  <c r="J301" i="2"/>
  <c r="I301" i="2"/>
  <c r="L300" i="2"/>
  <c r="K300" i="2"/>
  <c r="J300" i="2"/>
  <c r="I300" i="2"/>
  <c r="L299" i="2"/>
  <c r="K299" i="2"/>
  <c r="J299" i="2"/>
  <c r="I299" i="2"/>
  <c r="L298" i="2"/>
  <c r="K298" i="2"/>
  <c r="J298" i="2"/>
  <c r="I298" i="2"/>
  <c r="L297" i="2"/>
  <c r="K297" i="2"/>
  <c r="J297" i="2"/>
  <c r="I297" i="2"/>
  <c r="L296" i="2"/>
  <c r="K296" i="2"/>
  <c r="J296" i="2"/>
  <c r="I296" i="2"/>
  <c r="L295" i="2"/>
  <c r="K295" i="2"/>
  <c r="J295" i="2"/>
  <c r="I295" i="2"/>
  <c r="L294" i="2"/>
  <c r="K294" i="2"/>
  <c r="J294" i="2"/>
  <c r="I294" i="2"/>
  <c r="L293" i="2"/>
  <c r="K293" i="2"/>
  <c r="J293" i="2"/>
  <c r="I293" i="2"/>
  <c r="L292" i="2"/>
  <c r="K292" i="2"/>
  <c r="J292" i="2"/>
  <c r="I292" i="2"/>
  <c r="L291" i="2"/>
  <c r="K291" i="2"/>
  <c r="J291" i="2"/>
  <c r="I291" i="2"/>
  <c r="L290" i="2"/>
  <c r="K290" i="2"/>
  <c r="J290" i="2"/>
  <c r="I290" i="2"/>
  <c r="L289" i="2"/>
  <c r="K289" i="2"/>
  <c r="J289" i="2"/>
  <c r="I289" i="2"/>
  <c r="L288" i="2"/>
  <c r="K288" i="2"/>
  <c r="J288" i="2"/>
  <c r="I288" i="2"/>
  <c r="L287" i="2"/>
  <c r="K287" i="2"/>
  <c r="J287" i="2"/>
  <c r="I287" i="2"/>
  <c r="L286" i="2"/>
  <c r="K286" i="2"/>
  <c r="J286" i="2"/>
  <c r="I286" i="2"/>
  <c r="L285" i="2"/>
  <c r="K285" i="2"/>
  <c r="J285" i="2"/>
  <c r="I285" i="2"/>
  <c r="L284" i="2"/>
  <c r="K284" i="2"/>
  <c r="J284" i="2"/>
  <c r="I284" i="2"/>
  <c r="L283" i="2"/>
  <c r="K283" i="2"/>
  <c r="J283" i="2"/>
  <c r="I283" i="2"/>
  <c r="L282" i="2"/>
  <c r="K282" i="2"/>
  <c r="J282" i="2"/>
  <c r="I282" i="2"/>
  <c r="L281" i="2"/>
  <c r="K281" i="2"/>
  <c r="J281" i="2"/>
  <c r="I281" i="2"/>
  <c r="L280" i="2"/>
  <c r="K280" i="2"/>
  <c r="J280" i="2"/>
  <c r="I280" i="2"/>
  <c r="L279" i="2"/>
  <c r="K279" i="2"/>
  <c r="J279" i="2"/>
  <c r="I279" i="2"/>
  <c r="L278" i="2"/>
  <c r="K278" i="2"/>
  <c r="J278" i="2"/>
  <c r="I278" i="2"/>
  <c r="L277" i="2"/>
  <c r="K277" i="2"/>
  <c r="J277" i="2"/>
  <c r="I277" i="2"/>
  <c r="L276" i="2"/>
  <c r="K276" i="2"/>
  <c r="J276" i="2"/>
  <c r="I276" i="2"/>
  <c r="L275" i="2"/>
  <c r="K275" i="2"/>
  <c r="J275" i="2"/>
  <c r="I275" i="2"/>
  <c r="L274" i="2"/>
  <c r="K274" i="2"/>
  <c r="J274" i="2"/>
  <c r="I274" i="2"/>
  <c r="L273" i="2"/>
  <c r="K273" i="2"/>
  <c r="J273" i="2"/>
  <c r="I273" i="2"/>
  <c r="L272" i="2"/>
  <c r="K272" i="2"/>
  <c r="J272" i="2"/>
  <c r="I272" i="2"/>
  <c r="L271" i="2"/>
  <c r="K271" i="2"/>
  <c r="J271" i="2"/>
  <c r="I271" i="2"/>
  <c r="L270" i="2"/>
  <c r="K270" i="2"/>
  <c r="J270" i="2"/>
  <c r="I270" i="2"/>
  <c r="L269" i="2"/>
  <c r="K269" i="2"/>
  <c r="J269" i="2"/>
  <c r="I269" i="2"/>
  <c r="L268" i="2"/>
  <c r="K268" i="2"/>
  <c r="J268" i="2"/>
  <c r="I268" i="2"/>
  <c r="L267" i="2"/>
  <c r="K267" i="2"/>
  <c r="J267" i="2"/>
  <c r="I267" i="2"/>
  <c r="L266" i="2"/>
  <c r="K266" i="2"/>
  <c r="J266" i="2"/>
  <c r="I266" i="2"/>
  <c r="L265" i="2"/>
  <c r="K265" i="2"/>
  <c r="J265" i="2"/>
  <c r="I265" i="2"/>
  <c r="L264" i="2"/>
  <c r="K264" i="2"/>
  <c r="J264" i="2"/>
  <c r="I264" i="2"/>
  <c r="L263" i="2"/>
  <c r="K263" i="2"/>
  <c r="J263" i="2"/>
  <c r="I263" i="2"/>
  <c r="L262" i="2"/>
  <c r="K262" i="2"/>
  <c r="J262" i="2"/>
  <c r="I262" i="2"/>
  <c r="L261" i="2"/>
  <c r="K261" i="2"/>
  <c r="J261" i="2"/>
  <c r="I261" i="2"/>
  <c r="L260" i="2"/>
  <c r="K260" i="2"/>
  <c r="J260" i="2"/>
  <c r="I260" i="2"/>
  <c r="L259" i="2"/>
  <c r="K259" i="2"/>
  <c r="J259" i="2"/>
  <c r="I259" i="2"/>
  <c r="L258" i="2"/>
  <c r="K258" i="2"/>
  <c r="J258" i="2"/>
  <c r="I258" i="2"/>
  <c r="L257" i="2"/>
  <c r="K257" i="2"/>
  <c r="J257" i="2"/>
  <c r="I257" i="2"/>
  <c r="L256" i="2"/>
  <c r="K256" i="2"/>
  <c r="J256" i="2"/>
  <c r="I256" i="2"/>
  <c r="L255" i="2"/>
  <c r="K255" i="2"/>
  <c r="J255" i="2"/>
  <c r="I255" i="2"/>
  <c r="L254" i="2"/>
  <c r="K254" i="2"/>
  <c r="J254" i="2"/>
  <c r="I254" i="2"/>
  <c r="L253" i="2"/>
  <c r="K253" i="2"/>
  <c r="J253" i="2"/>
  <c r="I253" i="2"/>
  <c r="L252" i="2"/>
  <c r="K252" i="2"/>
  <c r="J252" i="2"/>
  <c r="I252" i="2"/>
  <c r="L251" i="2"/>
  <c r="K251" i="2"/>
  <c r="J251" i="2"/>
  <c r="I251" i="2"/>
  <c r="L250" i="2"/>
  <c r="K250" i="2"/>
  <c r="J250" i="2"/>
  <c r="I250" i="2"/>
  <c r="L249" i="2"/>
  <c r="K249" i="2"/>
  <c r="J249" i="2"/>
  <c r="I249" i="2"/>
  <c r="L248" i="2"/>
  <c r="K248" i="2"/>
  <c r="J248" i="2"/>
  <c r="I248" i="2"/>
  <c r="L247" i="2"/>
  <c r="K247" i="2"/>
  <c r="J247" i="2"/>
  <c r="I247" i="2"/>
  <c r="L246" i="2"/>
  <c r="K246" i="2"/>
  <c r="J246" i="2"/>
  <c r="I246" i="2"/>
  <c r="L245" i="2"/>
  <c r="K245" i="2"/>
  <c r="J245" i="2"/>
  <c r="I245" i="2"/>
  <c r="L244" i="2"/>
  <c r="K244" i="2"/>
  <c r="J244" i="2"/>
  <c r="I244" i="2"/>
  <c r="L243" i="2"/>
  <c r="K243" i="2"/>
  <c r="J243" i="2"/>
  <c r="I243" i="2"/>
  <c r="L242" i="2"/>
  <c r="K242" i="2"/>
  <c r="J242" i="2"/>
  <c r="I242" i="2"/>
  <c r="L241" i="2"/>
  <c r="K241" i="2"/>
  <c r="J241" i="2"/>
  <c r="I241" i="2"/>
  <c r="L240" i="2"/>
  <c r="K240" i="2"/>
  <c r="J240" i="2"/>
  <c r="I240" i="2"/>
  <c r="L239" i="2"/>
  <c r="K239" i="2"/>
  <c r="J239" i="2"/>
  <c r="I239" i="2"/>
  <c r="L238" i="2"/>
  <c r="K238" i="2"/>
  <c r="J238" i="2"/>
  <c r="I238" i="2"/>
  <c r="L237" i="2"/>
  <c r="K237" i="2"/>
  <c r="J237" i="2"/>
  <c r="I237" i="2"/>
  <c r="L236" i="2"/>
  <c r="K236" i="2"/>
  <c r="J236" i="2"/>
  <c r="I236" i="2"/>
  <c r="L235" i="2"/>
  <c r="K235" i="2"/>
  <c r="J235" i="2"/>
  <c r="I235" i="2"/>
  <c r="L234" i="2"/>
  <c r="K234" i="2"/>
  <c r="J234" i="2"/>
  <c r="I234" i="2"/>
  <c r="L233" i="2"/>
  <c r="K233" i="2"/>
  <c r="J233" i="2"/>
  <c r="I233" i="2"/>
  <c r="L232" i="2"/>
  <c r="K232" i="2"/>
  <c r="J232" i="2"/>
  <c r="I232" i="2"/>
  <c r="L231" i="2"/>
  <c r="K231" i="2"/>
  <c r="J231" i="2"/>
  <c r="I231" i="2"/>
  <c r="L230" i="2"/>
  <c r="K230" i="2"/>
  <c r="J230" i="2"/>
  <c r="I230" i="2"/>
  <c r="L229" i="2"/>
  <c r="K229" i="2"/>
  <c r="J229" i="2"/>
  <c r="I229" i="2"/>
  <c r="L228" i="2"/>
  <c r="K228" i="2"/>
  <c r="J228" i="2"/>
  <c r="I228" i="2"/>
  <c r="L227" i="2"/>
  <c r="K227" i="2"/>
  <c r="J227" i="2"/>
  <c r="I227" i="2"/>
  <c r="L226" i="2"/>
  <c r="K226" i="2"/>
  <c r="J226" i="2"/>
  <c r="I226" i="2"/>
  <c r="L225" i="2"/>
  <c r="K225" i="2"/>
  <c r="J225" i="2"/>
  <c r="I225" i="2"/>
  <c r="L224" i="2"/>
  <c r="K224" i="2"/>
  <c r="J224" i="2"/>
  <c r="I224" i="2"/>
  <c r="L223" i="2"/>
  <c r="K223" i="2"/>
  <c r="J223" i="2"/>
  <c r="I223" i="2"/>
  <c r="L222" i="2"/>
  <c r="K222" i="2"/>
  <c r="J222" i="2"/>
  <c r="I222" i="2"/>
  <c r="L221" i="2"/>
  <c r="K221" i="2"/>
  <c r="J221" i="2"/>
  <c r="I221" i="2"/>
  <c r="L220" i="2"/>
  <c r="K220" i="2"/>
  <c r="J220" i="2"/>
  <c r="I220" i="2"/>
  <c r="L219" i="2"/>
  <c r="K219" i="2"/>
  <c r="J219" i="2"/>
  <c r="I219" i="2"/>
  <c r="L218" i="2"/>
  <c r="K218" i="2"/>
  <c r="J218" i="2"/>
  <c r="I218" i="2"/>
  <c r="L217" i="2"/>
  <c r="K217" i="2"/>
  <c r="J217" i="2"/>
  <c r="I217" i="2"/>
  <c r="L216" i="2"/>
  <c r="K216" i="2"/>
  <c r="J216" i="2"/>
  <c r="I216" i="2"/>
  <c r="L215" i="2"/>
  <c r="K215" i="2"/>
  <c r="J215" i="2"/>
  <c r="I215" i="2"/>
  <c r="L214" i="2"/>
  <c r="K214" i="2"/>
  <c r="J214" i="2"/>
  <c r="I214" i="2"/>
  <c r="L213" i="2"/>
  <c r="K213" i="2"/>
  <c r="J213" i="2"/>
  <c r="I213" i="2"/>
  <c r="L212" i="2"/>
  <c r="K212" i="2"/>
  <c r="J212" i="2"/>
  <c r="I212" i="2"/>
  <c r="L211" i="2"/>
  <c r="K211" i="2"/>
  <c r="J211" i="2"/>
  <c r="I211" i="2"/>
  <c r="L210" i="2"/>
  <c r="K210" i="2"/>
  <c r="J210" i="2"/>
  <c r="I210" i="2"/>
  <c r="L209" i="2"/>
  <c r="K209" i="2"/>
  <c r="J209" i="2"/>
  <c r="I209" i="2"/>
  <c r="L208" i="2"/>
  <c r="K208" i="2"/>
  <c r="J208" i="2"/>
  <c r="I208" i="2"/>
  <c r="L207" i="2"/>
  <c r="K207" i="2"/>
  <c r="J207" i="2"/>
  <c r="I207" i="2"/>
  <c r="L206" i="2"/>
  <c r="K206" i="2"/>
  <c r="J206" i="2"/>
  <c r="I206" i="2"/>
  <c r="L205" i="2"/>
  <c r="K205" i="2"/>
  <c r="J205" i="2"/>
  <c r="I205" i="2"/>
  <c r="L204" i="2"/>
  <c r="K204" i="2"/>
  <c r="J204" i="2"/>
  <c r="I204" i="2"/>
  <c r="L203" i="2"/>
  <c r="K203" i="2"/>
  <c r="J203" i="2"/>
  <c r="I203" i="2"/>
  <c r="L202" i="2"/>
  <c r="K202" i="2"/>
  <c r="J202" i="2"/>
  <c r="I202" i="2"/>
  <c r="L201" i="2"/>
  <c r="K201" i="2"/>
  <c r="J201" i="2"/>
  <c r="I201" i="2"/>
  <c r="L200" i="2"/>
  <c r="K200" i="2"/>
  <c r="J200" i="2"/>
  <c r="I200" i="2"/>
  <c r="L199" i="2"/>
  <c r="K199" i="2"/>
  <c r="J199" i="2"/>
  <c r="I199" i="2"/>
  <c r="L198" i="2"/>
  <c r="K198" i="2"/>
  <c r="J198" i="2"/>
  <c r="I198" i="2"/>
  <c r="L197" i="2"/>
  <c r="K197" i="2"/>
  <c r="J197" i="2"/>
  <c r="I197" i="2"/>
  <c r="L196" i="2"/>
  <c r="K196" i="2"/>
  <c r="J196" i="2"/>
  <c r="I196" i="2"/>
  <c r="L195" i="2"/>
  <c r="K195" i="2"/>
  <c r="J195" i="2"/>
  <c r="I195" i="2"/>
  <c r="L194" i="2"/>
  <c r="K194" i="2"/>
  <c r="J194" i="2"/>
  <c r="I194" i="2"/>
  <c r="L193" i="2"/>
  <c r="K193" i="2"/>
  <c r="J193" i="2"/>
  <c r="I193" i="2"/>
  <c r="L192" i="2"/>
  <c r="K192" i="2"/>
  <c r="J192" i="2"/>
  <c r="I192" i="2"/>
  <c r="L191" i="2"/>
  <c r="K191" i="2"/>
  <c r="J191" i="2"/>
  <c r="I191" i="2"/>
  <c r="L190" i="2"/>
  <c r="K190" i="2"/>
  <c r="J190" i="2"/>
  <c r="I190" i="2"/>
  <c r="L189" i="2"/>
  <c r="K189" i="2"/>
  <c r="J189" i="2"/>
  <c r="I189" i="2"/>
  <c r="L188" i="2"/>
  <c r="K188" i="2"/>
  <c r="J188" i="2"/>
  <c r="I188" i="2"/>
  <c r="L187" i="2"/>
  <c r="K187" i="2"/>
  <c r="J187" i="2"/>
  <c r="I187" i="2"/>
  <c r="L186" i="2"/>
  <c r="K186" i="2"/>
  <c r="J186" i="2"/>
  <c r="I186" i="2"/>
  <c r="L185" i="2"/>
  <c r="K185" i="2"/>
  <c r="J185" i="2"/>
  <c r="I185" i="2"/>
  <c r="L184" i="2"/>
  <c r="K184" i="2"/>
  <c r="J184" i="2"/>
  <c r="I184" i="2"/>
  <c r="L183" i="2"/>
  <c r="K183" i="2"/>
  <c r="J183" i="2"/>
  <c r="I183" i="2"/>
  <c r="L182" i="2"/>
  <c r="K182" i="2"/>
  <c r="J182" i="2"/>
  <c r="I182" i="2"/>
  <c r="L181" i="2"/>
  <c r="K181" i="2"/>
  <c r="J181" i="2"/>
  <c r="I181" i="2"/>
  <c r="L180" i="2"/>
  <c r="K180" i="2"/>
  <c r="J180" i="2"/>
  <c r="I180" i="2"/>
  <c r="L179" i="2"/>
  <c r="K179" i="2"/>
  <c r="J179" i="2"/>
  <c r="I179" i="2"/>
  <c r="L178" i="2"/>
  <c r="K178" i="2"/>
  <c r="J178" i="2"/>
  <c r="I178" i="2"/>
  <c r="L177" i="2"/>
  <c r="K177" i="2"/>
  <c r="J177" i="2"/>
  <c r="I177" i="2"/>
  <c r="L176" i="2"/>
  <c r="K176" i="2"/>
  <c r="J176" i="2"/>
  <c r="I176" i="2"/>
  <c r="L175" i="2"/>
  <c r="K175" i="2"/>
  <c r="J175" i="2"/>
  <c r="I175" i="2"/>
  <c r="L174" i="2"/>
  <c r="K174" i="2"/>
  <c r="J174" i="2"/>
  <c r="I174" i="2"/>
  <c r="L173" i="2"/>
  <c r="K173" i="2"/>
  <c r="J173" i="2"/>
  <c r="I173" i="2"/>
  <c r="L172" i="2"/>
  <c r="K172" i="2"/>
  <c r="J172" i="2"/>
  <c r="I172" i="2"/>
  <c r="L171" i="2"/>
  <c r="K171" i="2"/>
  <c r="J171" i="2"/>
  <c r="I171" i="2"/>
  <c r="L170" i="2"/>
  <c r="K170" i="2"/>
  <c r="J170" i="2"/>
  <c r="I170" i="2"/>
  <c r="L169" i="2"/>
  <c r="K169" i="2"/>
  <c r="J169" i="2"/>
  <c r="I169" i="2"/>
  <c r="L168" i="2"/>
  <c r="K168" i="2"/>
  <c r="J168" i="2"/>
  <c r="I168" i="2"/>
  <c r="L167" i="2"/>
  <c r="K167" i="2"/>
  <c r="J167" i="2"/>
  <c r="I167" i="2"/>
  <c r="L166" i="2"/>
  <c r="K166" i="2"/>
  <c r="J166" i="2"/>
  <c r="I166" i="2"/>
  <c r="L165" i="2"/>
  <c r="K165" i="2"/>
  <c r="J165" i="2"/>
  <c r="I165" i="2"/>
  <c r="L164" i="2"/>
  <c r="K164" i="2"/>
  <c r="J164" i="2"/>
  <c r="I164" i="2"/>
  <c r="L163" i="2"/>
  <c r="K163" i="2"/>
  <c r="J163" i="2"/>
  <c r="I163" i="2"/>
  <c r="L162" i="2"/>
  <c r="K162" i="2"/>
  <c r="J162" i="2"/>
  <c r="I162" i="2"/>
  <c r="L161" i="2"/>
  <c r="K161" i="2"/>
  <c r="J161" i="2"/>
  <c r="I161" i="2"/>
  <c r="L160" i="2"/>
  <c r="K160" i="2"/>
  <c r="J160" i="2"/>
  <c r="I160" i="2"/>
  <c r="L159" i="2"/>
  <c r="K159" i="2"/>
  <c r="J159" i="2"/>
  <c r="I159" i="2"/>
  <c r="L158" i="2"/>
  <c r="K158" i="2"/>
  <c r="J158" i="2"/>
  <c r="I158" i="2"/>
  <c r="L157" i="2"/>
  <c r="K157" i="2"/>
  <c r="J157" i="2"/>
  <c r="I157" i="2"/>
  <c r="L156" i="2"/>
  <c r="K156" i="2"/>
  <c r="J156" i="2"/>
  <c r="I156" i="2"/>
  <c r="L155" i="2"/>
  <c r="K155" i="2"/>
  <c r="J155" i="2"/>
  <c r="I155" i="2"/>
  <c r="L154" i="2"/>
  <c r="K154" i="2"/>
  <c r="J154" i="2"/>
  <c r="I154" i="2"/>
  <c r="L153" i="2"/>
  <c r="K153" i="2"/>
  <c r="J153" i="2"/>
  <c r="I153" i="2"/>
  <c r="L152" i="2"/>
  <c r="K152" i="2"/>
  <c r="J152" i="2"/>
  <c r="I152" i="2"/>
  <c r="L151" i="2"/>
  <c r="K151" i="2"/>
  <c r="J151" i="2"/>
  <c r="I151" i="2"/>
  <c r="L150" i="2"/>
  <c r="K150" i="2"/>
  <c r="J150" i="2"/>
  <c r="I150" i="2"/>
  <c r="L149" i="2"/>
  <c r="K149" i="2"/>
  <c r="J149" i="2"/>
  <c r="I149" i="2"/>
  <c r="L148" i="2"/>
  <c r="K148" i="2"/>
  <c r="J148" i="2"/>
  <c r="I148" i="2"/>
  <c r="L147" i="2"/>
  <c r="K147" i="2"/>
  <c r="J147" i="2"/>
  <c r="I147" i="2"/>
  <c r="L146" i="2"/>
  <c r="K146" i="2"/>
  <c r="J146" i="2"/>
  <c r="I146" i="2"/>
  <c r="L145" i="2"/>
  <c r="K145" i="2"/>
  <c r="J145" i="2"/>
  <c r="I145" i="2"/>
  <c r="L144" i="2"/>
  <c r="K144" i="2"/>
  <c r="J144" i="2"/>
  <c r="I144" i="2"/>
  <c r="L143" i="2"/>
  <c r="K143" i="2"/>
  <c r="J143" i="2"/>
  <c r="I143" i="2"/>
  <c r="L142" i="2"/>
  <c r="K142" i="2"/>
  <c r="J142" i="2"/>
  <c r="I142" i="2"/>
  <c r="L141" i="2"/>
  <c r="K141" i="2"/>
  <c r="J141" i="2"/>
  <c r="I141" i="2"/>
  <c r="L140" i="2"/>
  <c r="K140" i="2"/>
  <c r="J140" i="2"/>
  <c r="I140" i="2"/>
  <c r="L139" i="2"/>
  <c r="K139" i="2"/>
  <c r="J139" i="2"/>
  <c r="I139" i="2"/>
  <c r="L138" i="2"/>
  <c r="K138" i="2"/>
  <c r="J138" i="2"/>
  <c r="I138" i="2"/>
  <c r="L137" i="2"/>
  <c r="K137" i="2"/>
  <c r="J137" i="2"/>
  <c r="I137" i="2"/>
  <c r="L136" i="2"/>
  <c r="K136" i="2"/>
  <c r="J136" i="2"/>
  <c r="I136" i="2"/>
  <c r="L135" i="2"/>
  <c r="K135" i="2"/>
  <c r="J135" i="2"/>
  <c r="I135" i="2"/>
  <c r="L134" i="2"/>
  <c r="K134" i="2"/>
  <c r="J134" i="2"/>
  <c r="I134" i="2"/>
  <c r="L133" i="2"/>
  <c r="K133" i="2"/>
  <c r="J133" i="2"/>
  <c r="I133" i="2"/>
  <c r="L132" i="2"/>
  <c r="K132" i="2"/>
  <c r="J132" i="2"/>
  <c r="I132" i="2"/>
  <c r="L131" i="2"/>
  <c r="K131" i="2"/>
  <c r="J131" i="2"/>
  <c r="I131" i="2"/>
  <c r="L130" i="2"/>
  <c r="K130" i="2"/>
  <c r="J130" i="2"/>
  <c r="I130" i="2"/>
  <c r="L129" i="2"/>
  <c r="K129" i="2"/>
  <c r="J129" i="2"/>
  <c r="I129" i="2"/>
  <c r="L128" i="2"/>
  <c r="K128" i="2"/>
  <c r="J128" i="2"/>
  <c r="I128" i="2"/>
  <c r="L127" i="2"/>
  <c r="K127" i="2"/>
  <c r="J127" i="2"/>
  <c r="I127" i="2"/>
  <c r="L126" i="2"/>
  <c r="K126" i="2"/>
  <c r="J126" i="2"/>
  <c r="I126" i="2"/>
  <c r="L125" i="2"/>
  <c r="K125" i="2"/>
  <c r="J125" i="2"/>
  <c r="I125" i="2"/>
  <c r="L124" i="2"/>
  <c r="K124" i="2"/>
  <c r="J124" i="2"/>
  <c r="I124" i="2"/>
  <c r="L123" i="2"/>
  <c r="K123" i="2"/>
  <c r="J123" i="2"/>
  <c r="I123" i="2"/>
  <c r="L122" i="2"/>
  <c r="K122" i="2"/>
  <c r="J122" i="2"/>
  <c r="I122" i="2"/>
  <c r="L121" i="2"/>
  <c r="K121" i="2"/>
  <c r="J121" i="2"/>
  <c r="I121" i="2"/>
  <c r="L120" i="2"/>
  <c r="K120" i="2"/>
  <c r="J120" i="2"/>
  <c r="I120" i="2"/>
  <c r="L119" i="2"/>
  <c r="K119" i="2"/>
  <c r="J119" i="2"/>
  <c r="I119" i="2"/>
  <c r="L118" i="2"/>
  <c r="K118" i="2"/>
  <c r="J118" i="2"/>
  <c r="I118" i="2"/>
  <c r="L117" i="2"/>
  <c r="K117" i="2"/>
  <c r="J117" i="2"/>
  <c r="I117" i="2"/>
  <c r="L116" i="2"/>
  <c r="K116" i="2"/>
  <c r="J116" i="2"/>
  <c r="I116" i="2"/>
  <c r="L115" i="2"/>
  <c r="K115" i="2"/>
  <c r="J115" i="2"/>
  <c r="I115" i="2"/>
  <c r="L114" i="2"/>
  <c r="K114" i="2"/>
  <c r="J114" i="2"/>
  <c r="I114" i="2"/>
  <c r="K113" i="2"/>
  <c r="J113" i="2"/>
  <c r="I113" i="2"/>
  <c r="L113" i="2" s="1"/>
  <c r="K111" i="2"/>
  <c r="J111" i="2"/>
  <c r="I111" i="2"/>
  <c r="L111" i="2" s="1"/>
  <c r="K110" i="2"/>
  <c r="J110" i="2"/>
  <c r="I110" i="2"/>
  <c r="L110" i="2" s="1"/>
  <c r="K109" i="2"/>
  <c r="J109" i="2"/>
  <c r="I109" i="2"/>
  <c r="L109" i="2" s="1"/>
  <c r="K107" i="2"/>
  <c r="J107" i="2"/>
  <c r="I107" i="2"/>
  <c r="L107" i="2" s="1"/>
  <c r="K106" i="2"/>
  <c r="J106" i="2"/>
  <c r="I106" i="2"/>
  <c r="L106" i="2" s="1"/>
  <c r="K105" i="2"/>
  <c r="J105" i="2"/>
  <c r="I105" i="2"/>
  <c r="L105" i="2" s="1"/>
  <c r="L103" i="2"/>
  <c r="K103" i="2"/>
  <c r="J103" i="2"/>
  <c r="I103" i="2"/>
  <c r="L102" i="2"/>
  <c r="K102" i="2"/>
  <c r="J102" i="2"/>
  <c r="I102" i="2"/>
  <c r="L101" i="2"/>
  <c r="K101" i="2"/>
  <c r="J101" i="2"/>
  <c r="I101" i="2"/>
  <c r="K99" i="2"/>
  <c r="J99" i="2"/>
  <c r="I99" i="2"/>
  <c r="L99" i="2" s="1"/>
  <c r="K98" i="2"/>
  <c r="J98" i="2"/>
  <c r="I98" i="2"/>
  <c r="L98" i="2" s="1"/>
  <c r="K95" i="2"/>
  <c r="J95" i="2"/>
  <c r="I95" i="2"/>
  <c r="L95" i="2" s="1"/>
  <c r="K94" i="2"/>
  <c r="J94" i="2"/>
  <c r="I94" i="2"/>
  <c r="L94" i="2" s="1"/>
  <c r="K91" i="2"/>
  <c r="J91" i="2"/>
  <c r="I91" i="2"/>
  <c r="L91" i="2" s="1"/>
  <c r="K90" i="2"/>
  <c r="J90" i="2"/>
  <c r="I90" i="2"/>
  <c r="L90" i="2" s="1"/>
  <c r="K87" i="2"/>
  <c r="J87" i="2"/>
  <c r="I87" i="2"/>
  <c r="L87" i="2" s="1"/>
  <c r="K86" i="2"/>
  <c r="J86" i="2"/>
  <c r="I86" i="2"/>
  <c r="L86" i="2" s="1"/>
  <c r="K83" i="2"/>
  <c r="J83" i="2"/>
  <c r="I83" i="2"/>
  <c r="L83" i="2" s="1"/>
  <c r="K82" i="2"/>
  <c r="J82" i="2"/>
  <c r="I82" i="2"/>
  <c r="L82" i="2" s="1"/>
  <c r="K79" i="2"/>
  <c r="J79" i="2"/>
  <c r="I79" i="2"/>
  <c r="L79" i="2" s="1"/>
  <c r="K78" i="2"/>
  <c r="J78" i="2"/>
  <c r="I78" i="2"/>
  <c r="L78" i="2" s="1"/>
  <c r="L75" i="2"/>
  <c r="K75" i="2"/>
  <c r="J75" i="2"/>
  <c r="I75" i="2"/>
  <c r="L74" i="2"/>
  <c r="K74" i="2"/>
  <c r="J74" i="2"/>
  <c r="I74" i="2"/>
  <c r="L71" i="2"/>
  <c r="K71" i="2"/>
  <c r="J71" i="2"/>
  <c r="I71" i="2"/>
  <c r="L70" i="2"/>
  <c r="K70" i="2"/>
  <c r="J70" i="2"/>
  <c r="I70" i="2"/>
  <c r="K67" i="2"/>
  <c r="J67" i="2"/>
  <c r="I67" i="2"/>
  <c r="L67" i="2" s="1"/>
  <c r="K66" i="2"/>
  <c r="J66" i="2"/>
  <c r="I66" i="2"/>
  <c r="L66" i="2" s="1"/>
  <c r="L63" i="2"/>
  <c r="K63" i="2"/>
  <c r="J63" i="2"/>
  <c r="I63" i="2"/>
  <c r="L62" i="2"/>
  <c r="K62" i="2"/>
  <c r="J62" i="2"/>
  <c r="I62" i="2"/>
  <c r="L59" i="2"/>
  <c r="K59" i="2"/>
  <c r="J59" i="2"/>
  <c r="I59" i="2"/>
  <c r="L58" i="2"/>
  <c r="K58" i="2"/>
  <c r="J58" i="2"/>
  <c r="I58" i="2"/>
  <c r="J57" i="2"/>
  <c r="I57" i="2"/>
  <c r="L57" i="2" s="1"/>
  <c r="L55" i="2"/>
  <c r="K55" i="2"/>
  <c r="J55" i="2"/>
  <c r="I55" i="2"/>
  <c r="L54" i="2"/>
  <c r="K54" i="2"/>
  <c r="J54" i="2"/>
  <c r="I54" i="2"/>
  <c r="L53" i="2"/>
  <c r="K53" i="2"/>
  <c r="J53" i="2"/>
  <c r="I53" i="2"/>
  <c r="J51" i="2"/>
  <c r="I51" i="2"/>
  <c r="L51" i="2" s="1"/>
  <c r="L50" i="2"/>
  <c r="K50" i="2"/>
  <c r="J50" i="2"/>
  <c r="I50" i="2"/>
  <c r="L49" i="2"/>
  <c r="K49" i="2"/>
  <c r="J49" i="2"/>
  <c r="I49" i="2"/>
  <c r="L47" i="2"/>
  <c r="K47" i="2"/>
  <c r="J47" i="2"/>
  <c r="I47" i="2"/>
  <c r="L46" i="2"/>
  <c r="K46" i="2"/>
  <c r="J46" i="2"/>
  <c r="I46" i="2"/>
  <c r="L45" i="2"/>
  <c r="K45" i="2"/>
  <c r="J45" i="2"/>
  <c r="I45" i="2"/>
  <c r="L43" i="2"/>
  <c r="K43" i="2"/>
  <c r="J43" i="2"/>
  <c r="I43" i="2"/>
  <c r="L42" i="2"/>
  <c r="K42" i="2"/>
  <c r="J42" i="2"/>
  <c r="I42" i="2"/>
  <c r="L41" i="2"/>
  <c r="K41" i="2"/>
  <c r="J41" i="2"/>
  <c r="I41" i="2"/>
  <c r="L39" i="2"/>
  <c r="K39" i="2"/>
  <c r="J39" i="2"/>
  <c r="I39" i="2"/>
  <c r="L38" i="2"/>
  <c r="K38" i="2"/>
  <c r="J38" i="2"/>
  <c r="I38" i="2"/>
  <c r="L37" i="2"/>
  <c r="K37" i="2"/>
  <c r="J37" i="2"/>
  <c r="I37" i="2"/>
  <c r="L35" i="2"/>
  <c r="K35" i="2"/>
  <c r="J35" i="2"/>
  <c r="I35" i="2"/>
  <c r="L34" i="2"/>
  <c r="K34" i="2"/>
  <c r="J34" i="2"/>
  <c r="I34" i="2"/>
  <c r="L33" i="2"/>
  <c r="K33" i="2"/>
  <c r="J33" i="2"/>
  <c r="I33" i="2"/>
  <c r="L32" i="2"/>
  <c r="K32" i="2"/>
  <c r="J32" i="2"/>
  <c r="I32" i="2"/>
  <c r="J31" i="2"/>
  <c r="I31" i="2"/>
  <c r="L31" i="2" s="1"/>
  <c r="L30" i="2"/>
  <c r="K30" i="2"/>
  <c r="J30" i="2"/>
  <c r="I30" i="2"/>
  <c r="L29" i="2"/>
  <c r="K29" i="2"/>
  <c r="J29" i="2"/>
  <c r="I29" i="2"/>
  <c r="I27" i="2"/>
  <c r="L27" i="2" s="1"/>
  <c r="K26" i="2"/>
  <c r="I26" i="2"/>
  <c r="J26" i="2" s="1"/>
  <c r="L25" i="2"/>
  <c r="K25" i="2"/>
  <c r="J25" i="2"/>
  <c r="I25" i="2"/>
  <c r="L24" i="2"/>
  <c r="K24" i="2"/>
  <c r="J24" i="2"/>
  <c r="I24" i="2"/>
  <c r="I23" i="2"/>
  <c r="L23" i="2" s="1"/>
  <c r="I22" i="2"/>
  <c r="L22" i="2" s="1"/>
  <c r="I21" i="2"/>
  <c r="L21" i="2" s="1"/>
  <c r="I20" i="2"/>
  <c r="L20" i="2" s="1"/>
  <c r="I19" i="2"/>
  <c r="L19" i="2" s="1"/>
  <c r="I18" i="2"/>
  <c r="L18" i="2" s="1"/>
  <c r="I17" i="2"/>
  <c r="L17" i="2" s="1"/>
  <c r="I16" i="2"/>
  <c r="L16" i="2" s="1"/>
  <c r="I15" i="2"/>
  <c r="L15" i="2" s="1"/>
  <c r="I14" i="2"/>
  <c r="L14" i="2" s="1"/>
  <c r="I13" i="2"/>
  <c r="L13" i="2" s="1"/>
  <c r="I12" i="2"/>
  <c r="L12" i="2" s="1"/>
  <c r="I11" i="2"/>
  <c r="L11" i="2" s="1"/>
  <c r="I10" i="2"/>
  <c r="L10" i="2" s="1"/>
  <c r="I9" i="2"/>
  <c r="L9" i="2" s="1"/>
  <c r="I8" i="2"/>
  <c r="L8" i="2" s="1"/>
  <c r="I7" i="2"/>
  <c r="L7" i="2" s="1"/>
  <c r="I6" i="2"/>
  <c r="L6" i="2" s="1"/>
  <c r="I5" i="2"/>
  <c r="L5" i="2" s="1"/>
  <c r="I4" i="2"/>
  <c r="L4" i="2" s="1"/>
  <c r="I3" i="2"/>
  <c r="L3" i="2" s="1"/>
  <c r="I2" i="2"/>
  <c r="L2" i="2" s="1"/>
  <c r="J112" i="2" l="1"/>
  <c r="L112" i="2"/>
  <c r="K112" i="2"/>
  <c r="K104" i="2"/>
  <c r="L104" i="2"/>
  <c r="J104" i="2"/>
  <c r="J108" i="2"/>
  <c r="L108" i="2"/>
  <c r="K108" i="2"/>
  <c r="L77" i="2"/>
  <c r="K77" i="2"/>
  <c r="J77" i="2"/>
  <c r="L89" i="2"/>
  <c r="K89" i="2"/>
  <c r="J89" i="2"/>
  <c r="L93" i="2"/>
  <c r="K93" i="2"/>
  <c r="J93" i="2"/>
  <c r="J72" i="2"/>
  <c r="L72" i="2"/>
  <c r="K72" i="2"/>
  <c r="K76" i="2"/>
  <c r="J76" i="2"/>
  <c r="L76" i="2"/>
  <c r="J80" i="2"/>
  <c r="L80" i="2"/>
  <c r="K80" i="2"/>
  <c r="J84" i="2"/>
  <c r="L84" i="2"/>
  <c r="K84" i="2"/>
  <c r="K88" i="2"/>
  <c r="L88" i="2"/>
  <c r="J88" i="2"/>
  <c r="K92" i="2"/>
  <c r="J92" i="2"/>
  <c r="L92" i="2"/>
  <c r="J96" i="2"/>
  <c r="L96" i="2"/>
  <c r="K96" i="2"/>
  <c r="K100" i="2"/>
  <c r="J100" i="2"/>
  <c r="L100" i="2"/>
  <c r="L73" i="2"/>
  <c r="K73" i="2"/>
  <c r="J73" i="2"/>
  <c r="K81" i="2"/>
  <c r="L81" i="2"/>
  <c r="J81" i="2"/>
  <c r="L85" i="2"/>
  <c r="K85" i="2"/>
  <c r="J85" i="2"/>
  <c r="K97" i="2"/>
  <c r="L97" i="2"/>
  <c r="J97" i="2"/>
  <c r="J60" i="2"/>
  <c r="L60" i="2"/>
  <c r="K60" i="2"/>
  <c r="K64" i="2"/>
  <c r="L64" i="2"/>
  <c r="J64" i="2"/>
  <c r="L68" i="2"/>
  <c r="K68" i="2"/>
  <c r="J68" i="2"/>
  <c r="K61" i="2"/>
  <c r="L61" i="2"/>
  <c r="J61" i="2"/>
  <c r="J65" i="2"/>
  <c r="L65" i="2"/>
  <c r="K65" i="2"/>
  <c r="K69" i="2"/>
  <c r="J69" i="2"/>
  <c r="L69" i="2"/>
  <c r="J52" i="2"/>
  <c r="L52" i="2"/>
  <c r="K52" i="2"/>
  <c r="J56" i="2"/>
  <c r="L56" i="2"/>
  <c r="K56" i="2"/>
  <c r="K57" i="2"/>
  <c r="K36" i="2"/>
  <c r="L36" i="2"/>
  <c r="J36" i="2"/>
  <c r="J44" i="2"/>
  <c r="L44" i="2"/>
  <c r="K44" i="2"/>
  <c r="L40" i="2"/>
  <c r="J40" i="2"/>
  <c r="K40" i="2"/>
  <c r="J48" i="2"/>
  <c r="L48" i="2"/>
  <c r="K48" i="2"/>
  <c r="K51" i="2"/>
  <c r="K28" i="2"/>
  <c r="L28" i="2"/>
  <c r="J28" i="2"/>
  <c r="K31" i="2"/>
  <c r="L26" i="2"/>
  <c r="J27" i="2"/>
  <c r="K27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L680" i="2"/>
  <c r="K680" i="2"/>
  <c r="J680" i="2"/>
  <c r="L684" i="2"/>
  <c r="K684" i="2"/>
  <c r="J684" i="2"/>
  <c r="L688" i="2"/>
  <c r="K688" i="2"/>
  <c r="J688" i="2"/>
  <c r="L692" i="2"/>
  <c r="K692" i="2"/>
  <c r="J692" i="2"/>
  <c r="L696" i="2"/>
  <c r="K696" i="2"/>
  <c r="J696" i="2"/>
  <c r="L700" i="2"/>
  <c r="K700" i="2"/>
  <c r="J700" i="2"/>
  <c r="L704" i="2"/>
  <c r="K704" i="2"/>
  <c r="J704" i="2"/>
  <c r="L708" i="2"/>
  <c r="K708" i="2"/>
  <c r="J708" i="2"/>
  <c r="L712" i="2"/>
  <c r="K712" i="2"/>
  <c r="J712" i="2"/>
  <c r="L716" i="2"/>
  <c r="K716" i="2"/>
  <c r="J716" i="2"/>
  <c r="L720" i="2"/>
  <c r="K720" i="2"/>
  <c r="J720" i="2"/>
  <c r="L724" i="2"/>
  <c r="K724" i="2"/>
  <c r="J724" i="2"/>
  <c r="L728" i="2"/>
  <c r="K728" i="2"/>
  <c r="J728" i="2"/>
  <c r="L732" i="2"/>
  <c r="K732" i="2"/>
  <c r="J732" i="2"/>
  <c r="L736" i="2"/>
  <c r="K736" i="2"/>
  <c r="J736" i="2"/>
  <c r="L740" i="2"/>
  <c r="K740" i="2"/>
  <c r="J740" i="2"/>
  <c r="L744" i="2"/>
  <c r="K744" i="2"/>
  <c r="J744" i="2"/>
  <c r="L748" i="2"/>
  <c r="K748" i="2"/>
  <c r="J748" i="2"/>
  <c r="L752" i="2"/>
  <c r="K752" i="2"/>
  <c r="J752" i="2"/>
  <c r="L756" i="2"/>
  <c r="K756" i="2"/>
  <c r="J756" i="2"/>
  <c r="L760" i="2"/>
  <c r="K760" i="2"/>
  <c r="J760" i="2"/>
  <c r="L764" i="2"/>
  <c r="K764" i="2"/>
  <c r="J764" i="2"/>
  <c r="L768" i="2"/>
  <c r="K768" i="2"/>
  <c r="J768" i="2"/>
  <c r="L772" i="2"/>
  <c r="K772" i="2"/>
  <c r="J772" i="2"/>
  <c r="L776" i="2"/>
  <c r="K776" i="2"/>
  <c r="J776" i="2"/>
  <c r="L780" i="2"/>
  <c r="K780" i="2"/>
  <c r="J780" i="2"/>
  <c r="L784" i="2"/>
  <c r="K784" i="2"/>
  <c r="J784" i="2"/>
  <c r="L788" i="2"/>
  <c r="K788" i="2"/>
  <c r="J788" i="2"/>
  <c r="L792" i="2"/>
  <c r="K792" i="2"/>
  <c r="J792" i="2"/>
  <c r="K796" i="2"/>
  <c r="L796" i="2"/>
  <c r="J796" i="2"/>
  <c r="K800" i="2"/>
  <c r="L800" i="2"/>
  <c r="J800" i="2"/>
  <c r="K804" i="2"/>
  <c r="L804" i="2"/>
  <c r="J804" i="2"/>
  <c r="K808" i="2"/>
  <c r="L808" i="2"/>
  <c r="J808" i="2"/>
  <c r="K812" i="2"/>
  <c r="L812" i="2"/>
  <c r="J812" i="2"/>
  <c r="K816" i="2"/>
  <c r="L816" i="2"/>
  <c r="J816" i="2"/>
  <c r="K820" i="2"/>
  <c r="J820" i="2"/>
  <c r="L820" i="2"/>
  <c r="K824" i="2"/>
  <c r="J824" i="2"/>
  <c r="L824" i="2"/>
  <c r="K828" i="2"/>
  <c r="J828" i="2"/>
  <c r="L828" i="2"/>
  <c r="K832" i="2"/>
  <c r="J832" i="2"/>
  <c r="L832" i="2"/>
  <c r="K836" i="2"/>
  <c r="J836" i="2"/>
  <c r="L836" i="2"/>
  <c r="K840" i="2"/>
  <c r="J840" i="2"/>
  <c r="L840" i="2"/>
  <c r="B2" i="4"/>
  <c r="L845" i="2"/>
  <c r="K845" i="2"/>
  <c r="J845" i="2"/>
  <c r="L850" i="2"/>
  <c r="K850" i="2"/>
  <c r="L861" i="2"/>
  <c r="K861" i="2"/>
  <c r="J861" i="2"/>
  <c r="L866" i="2"/>
  <c r="K866" i="2"/>
  <c r="L877" i="2"/>
  <c r="K877" i="2"/>
  <c r="J877" i="2"/>
  <c r="L882" i="2"/>
  <c r="K882" i="2"/>
  <c r="L893" i="2"/>
  <c r="K893" i="2"/>
  <c r="J893" i="2"/>
  <c r="L898" i="2"/>
  <c r="K898" i="2"/>
  <c r="L909" i="2"/>
  <c r="K909" i="2"/>
  <c r="J909" i="2"/>
  <c r="L914" i="2"/>
  <c r="K914" i="2"/>
  <c r="L844" i="2"/>
  <c r="J844" i="2"/>
  <c r="L848" i="2"/>
  <c r="J848" i="2"/>
  <c r="L852" i="2"/>
  <c r="J852" i="2"/>
  <c r="L856" i="2"/>
  <c r="J856" i="2"/>
  <c r="L860" i="2"/>
  <c r="J860" i="2"/>
  <c r="L864" i="2"/>
  <c r="J864" i="2"/>
  <c r="L868" i="2"/>
  <c r="J868" i="2"/>
  <c r="L872" i="2"/>
  <c r="J872" i="2"/>
  <c r="L876" i="2"/>
  <c r="J876" i="2"/>
  <c r="L880" i="2"/>
  <c r="J880" i="2"/>
  <c r="L884" i="2"/>
  <c r="J884" i="2"/>
  <c r="L888" i="2"/>
  <c r="J888" i="2"/>
  <c r="L892" i="2"/>
  <c r="J892" i="2"/>
  <c r="L896" i="2"/>
  <c r="J896" i="2"/>
  <c r="L900" i="2"/>
  <c r="J900" i="2"/>
  <c r="L904" i="2"/>
  <c r="J904" i="2"/>
  <c r="L908" i="2"/>
  <c r="J908" i="2"/>
  <c r="L912" i="2"/>
  <c r="J912" i="2"/>
  <c r="L916" i="2"/>
  <c r="J916" i="2"/>
  <c r="L920" i="2"/>
  <c r="J920" i="2"/>
  <c r="J799" i="2"/>
  <c r="J803" i="2"/>
  <c r="J807" i="2"/>
  <c r="J811" i="2"/>
  <c r="J815" i="2"/>
  <c r="J819" i="2"/>
  <c r="K821" i="2"/>
  <c r="J821" i="2"/>
  <c r="K823" i="2"/>
  <c r="J823" i="2"/>
  <c r="K825" i="2"/>
  <c r="J825" i="2"/>
  <c r="K827" i="2"/>
  <c r="J827" i="2"/>
  <c r="K829" i="2"/>
  <c r="J829" i="2"/>
  <c r="K831" i="2"/>
  <c r="J831" i="2"/>
  <c r="K833" i="2"/>
  <c r="J833" i="2"/>
  <c r="K835" i="2"/>
  <c r="J835" i="2"/>
  <c r="K837" i="2"/>
  <c r="J837" i="2"/>
  <c r="K839" i="2"/>
  <c r="J839" i="2"/>
  <c r="L841" i="2"/>
  <c r="K841" i="2"/>
  <c r="J841" i="2"/>
  <c r="L846" i="2"/>
  <c r="K846" i="2"/>
  <c r="J850" i="2"/>
  <c r="K852" i="2"/>
  <c r="L857" i="2"/>
  <c r="K857" i="2"/>
  <c r="J857" i="2"/>
  <c r="L862" i="2"/>
  <c r="K862" i="2"/>
  <c r="J866" i="2"/>
  <c r="K868" i="2"/>
  <c r="L873" i="2"/>
  <c r="K873" i="2"/>
  <c r="J873" i="2"/>
  <c r="L878" i="2"/>
  <c r="K878" i="2"/>
  <c r="J882" i="2"/>
  <c r="K884" i="2"/>
  <c r="L889" i="2"/>
  <c r="K889" i="2"/>
  <c r="J889" i="2"/>
  <c r="L894" i="2"/>
  <c r="K894" i="2"/>
  <c r="J898" i="2"/>
  <c r="K900" i="2"/>
  <c r="L905" i="2"/>
  <c r="K905" i="2"/>
  <c r="J905" i="2"/>
  <c r="L910" i="2"/>
  <c r="K910" i="2"/>
  <c r="J914" i="2"/>
  <c r="K916" i="2"/>
  <c r="L921" i="2"/>
  <c r="K921" i="2"/>
  <c r="J921" i="2"/>
  <c r="L799" i="2"/>
  <c r="L803" i="2"/>
  <c r="L807" i="2"/>
  <c r="L811" i="2"/>
  <c r="L815" i="2"/>
  <c r="J818" i="2"/>
  <c r="L819" i="2"/>
  <c r="L821" i="2"/>
  <c r="L823" i="2"/>
  <c r="L825" i="2"/>
  <c r="L827" i="2"/>
  <c r="L829" i="2"/>
  <c r="L831" i="2"/>
  <c r="L833" i="2"/>
  <c r="L835" i="2"/>
  <c r="L837" i="2"/>
  <c r="L839" i="2"/>
  <c r="L842" i="2"/>
  <c r="K842" i="2"/>
  <c r="J846" i="2"/>
  <c r="K848" i="2"/>
  <c r="L853" i="2"/>
  <c r="K853" i="2"/>
  <c r="J853" i="2"/>
  <c r="L858" i="2"/>
  <c r="K858" i="2"/>
  <c r="J862" i="2"/>
  <c r="K864" i="2"/>
  <c r="L869" i="2"/>
  <c r="K869" i="2"/>
  <c r="J869" i="2"/>
  <c r="L874" i="2"/>
  <c r="K874" i="2"/>
  <c r="J878" i="2"/>
  <c r="K880" i="2"/>
  <c r="L885" i="2"/>
  <c r="K885" i="2"/>
  <c r="J885" i="2"/>
  <c r="L890" i="2"/>
  <c r="K890" i="2"/>
  <c r="J894" i="2"/>
  <c r="K896" i="2"/>
  <c r="L901" i="2"/>
  <c r="K901" i="2"/>
  <c r="J901" i="2"/>
  <c r="L906" i="2"/>
  <c r="K906" i="2"/>
  <c r="J910" i="2"/>
  <c r="K912" i="2"/>
  <c r="L917" i="2"/>
  <c r="K917" i="2"/>
  <c r="J917" i="2"/>
  <c r="L922" i="2"/>
  <c r="K922" i="2"/>
  <c r="J797" i="2"/>
  <c r="L798" i="2"/>
  <c r="J801" i="2"/>
  <c r="L802" i="2"/>
  <c r="J805" i="2"/>
  <c r="J809" i="2"/>
  <c r="J813" i="2"/>
  <c r="L814" i="2"/>
  <c r="J817" i="2"/>
  <c r="L818" i="2"/>
  <c r="K822" i="2"/>
  <c r="J822" i="2"/>
  <c r="K826" i="2"/>
  <c r="J826" i="2"/>
  <c r="K830" i="2"/>
  <c r="J830" i="2"/>
  <c r="K834" i="2"/>
  <c r="J834" i="2"/>
  <c r="K838" i="2"/>
  <c r="J838" i="2"/>
  <c r="J842" i="2"/>
  <c r="K844" i="2"/>
  <c r="L849" i="2"/>
  <c r="K849" i="2"/>
  <c r="J849" i="2"/>
  <c r="L854" i="2"/>
  <c r="K854" i="2"/>
  <c r="J858" i="2"/>
  <c r="K860" i="2"/>
  <c r="L865" i="2"/>
  <c r="K865" i="2"/>
  <c r="J865" i="2"/>
  <c r="L870" i="2"/>
  <c r="K870" i="2"/>
  <c r="J874" i="2"/>
  <c r="K876" i="2"/>
  <c r="L881" i="2"/>
  <c r="K881" i="2"/>
  <c r="J881" i="2"/>
  <c r="L886" i="2"/>
  <c r="K886" i="2"/>
  <c r="J890" i="2"/>
  <c r="K892" i="2"/>
  <c r="L897" i="2"/>
  <c r="K897" i="2"/>
  <c r="J897" i="2"/>
  <c r="L902" i="2"/>
  <c r="K902" i="2"/>
  <c r="J906" i="2"/>
  <c r="K908" i="2"/>
  <c r="L913" i="2"/>
  <c r="K913" i="2"/>
  <c r="J913" i="2"/>
  <c r="L918" i="2"/>
  <c r="K918" i="2"/>
  <c r="J922" i="2"/>
  <c r="D2" i="4" l="1"/>
  <c r="B12" i="3" s="1"/>
  <c r="E2" i="4"/>
  <c r="F2" i="4"/>
  <c r="F3" i="4" s="1"/>
  <c r="C2" i="4"/>
  <c r="C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00000000-0006-0000-0100-000001000000}">
      <text>
        <r>
          <rPr>
            <sz val="10"/>
            <color rgb="FF000000"/>
            <rFont val="Arial"/>
            <scheme val="minor"/>
          </rPr>
          <t>Estimation en minutes (1 journée de développement = 300 min). Le total en heures est calculé dans la feuille « avancement ».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400-000001000000}">
      <text>
        <r>
          <rPr>
            <sz val="10"/>
            <color rgb="FF000000"/>
            <rFont val="Arial"/>
            <scheme val="minor"/>
          </rPr>
          <t>Saisis ici, chaque jour, le temps passé (en minutes) sur chaque ligne. Une colonne par jour ouvré, du 05/10/2026 au 05/01/2027 (25/12 et 01/01 fériés).</t>
        </r>
      </text>
    </comment>
  </commentList>
</comments>
</file>

<file path=xl/sharedStrings.xml><?xml version="1.0" encoding="utf-8"?>
<sst xmlns="http://schemas.openxmlformats.org/spreadsheetml/2006/main" count="5563" uniqueCount="1095">
  <si>
    <t>ETU003350</t>
  </si>
  <si>
    <t>Ligne</t>
  </si>
  <si>
    <t>estimation total</t>
  </si>
  <si>
    <t>RANDRIANOMENA Harimalala Ericka</t>
  </si>
  <si>
    <t>Catégorie</t>
  </si>
  <si>
    <t>temps passé total</t>
  </si>
  <si>
    <t>reste à faire total</t>
  </si>
  <si>
    <t>Module</t>
  </si>
  <si>
    <t>avancement</t>
  </si>
  <si>
    <t>Page</t>
  </si>
  <si>
    <t>dépassement</t>
  </si>
  <si>
    <t>Description tâche</t>
  </si>
  <si>
    <t>reste réel total</t>
  </si>
  <si>
    <t>Type</t>
  </si>
  <si>
    <t>Qui</t>
  </si>
  <si>
    <t>Estimation</t>
  </si>
  <si>
    <t>Temps passé</t>
  </si>
  <si>
    <t>Reste à faire</t>
  </si>
  <si>
    <t>Avancement</t>
  </si>
  <si>
    <t>Dépassement</t>
  </si>
  <si>
    <t>Analyse et conception</t>
  </si>
  <si>
    <t>Gestion Cahier des charges</t>
  </si>
  <si>
    <t>cahierDesCharges</t>
  </si>
  <si>
    <t>Contexte</t>
  </si>
  <si>
    <t>Redaction</t>
  </si>
  <si>
    <t>Problématique</t>
  </si>
  <si>
    <t>heure</t>
  </si>
  <si>
    <t>Objectifs général et spécifiques</t>
  </si>
  <si>
    <t>Périmètre (inclus et exclu)</t>
  </si>
  <si>
    <t>Parties prenantes et acteurs</t>
  </si>
  <si>
    <t>Situation actuelle des données</t>
  </si>
  <si>
    <t>Total</t>
  </si>
  <si>
    <t>Limites constatées</t>
  </si>
  <si>
    <t>Benchmark : GBIF</t>
  </si>
  <si>
    <t>Benchmark : Specify</t>
  </si>
  <si>
    <t>Benchmark : KoboToolbox</t>
  </si>
  <si>
    <t>Besoins fonctionnels BF-01 à BF-06</t>
  </si>
  <si>
    <t>SUM of Estimation</t>
  </si>
  <si>
    <t>SUM of Temps passé</t>
  </si>
  <si>
    <t>Besoins fonctionnels BF-07 à BF-12</t>
  </si>
  <si>
    <t>SUM of Reste à faire</t>
  </si>
  <si>
    <t>Besoins fonctionnels BF-13 à BF-17</t>
  </si>
  <si>
    <t>Priorités MoSCoW</t>
  </si>
  <si>
    <t>Règles de gestion RG-01 à RG-06</t>
  </si>
  <si>
    <t>Besoins non fonctionnels</t>
  </si>
  <si>
    <t>Contraintes techniques et réglementaires</t>
  </si>
  <si>
    <t>Architecture et choix technologiques</t>
  </si>
  <si>
    <t>Tableau des technologies</t>
  </si>
  <si>
    <t>Page de garde et historique des révisions</t>
  </si>
  <si>
    <t>Mise en forme (styles, tableaux)</t>
  </si>
  <si>
    <t>Table des matières et numérotation</t>
  </si>
  <si>
    <t>Relecture et corrections</t>
  </si>
  <si>
    <t>cahierCondense</t>
  </si>
  <si>
    <t>Relire la version longue et repérer ce qui n'a pas sa place</t>
  </si>
  <si>
    <t>Retirer la modélisation et les maquettes</t>
  </si>
  <si>
    <t>Fusionner parties prenantes et acteurs</t>
  </si>
  <si>
    <t>Condenser le benchmark</t>
  </si>
  <si>
    <t>Raccourcir les besoins non fonctionnels</t>
  </si>
  <si>
    <t>Corriger les accents et les fautes</t>
  </si>
  <si>
    <t>Vérifier la limite de 6 à 7 pages</t>
  </si>
  <si>
    <t>cahierValidation</t>
  </si>
  <si>
    <t>Envoyer le cahier des charges à l'encadrant</t>
  </si>
  <si>
    <t>Gestion</t>
  </si>
  <si>
    <t>Intégrer ses remarques</t>
  </si>
  <si>
    <t>Obtenir la validation écrite (e-mail)</t>
  </si>
  <si>
    <t>Gestion Base de donnees</t>
  </si>
  <si>
    <t>schemaBD</t>
  </si>
  <si>
    <t>Lister les entités à partir de Darwin Core</t>
  </si>
  <si>
    <t>Conception</t>
  </si>
  <si>
    <t>Choisir les tables à garder</t>
  </si>
  <si>
    <t>Tables utilisateurs et agents (Utilisateur, Agent, Agent_User)</t>
  </si>
  <si>
    <t>Tables recherches (recherche, Media_recherche, Agent_Recherche, Dataset)</t>
  </si>
  <si>
    <t>Tables de localisation (Pays, Province, Location)</t>
  </si>
  <si>
    <t>Tables événements et protocoles (Event, Protocol, protocolType, event_reference)</t>
  </si>
  <si>
    <t>Tables occurrences (Occurrence, Organism, geological_context, Media, Occurrence_Agent)</t>
  </si>
  <si>
    <t>Tables d'interactions (organism_interaction, organismInteractionType)</t>
  </si>
  <si>
    <t>Tables taxonomie et identification (Taxon, taxonRank, identification, identification_reference)</t>
  </si>
  <si>
    <t>Tables de mesures (measurement_or_fact, types, unités)</t>
  </si>
  <si>
    <t>Tables génétiques (NucleotideSequence, NucleotideAnalysis, MolecularProtocol)</t>
  </si>
  <si>
    <t>Tables matériel (MaterialEntity, types, catégories, occurrence_material_entity)</t>
  </si>
  <si>
    <t>Table bibliographic_resource</t>
  </si>
  <si>
    <t>Tables des tableaux personnalisés (Attribut, tableau_personnalise, ligne, valeur)</t>
  </si>
  <si>
    <t>Table notification</t>
  </si>
  <si>
    <t>Clés primaires</t>
  </si>
  <si>
    <t>Clés étrangères et relations</t>
  </si>
  <si>
    <t>Types de données et contraintes (NOT NULL, UNIQUE)</t>
  </si>
  <si>
    <t>Vérifier la cardinalité de chaque relation</t>
  </si>
  <si>
    <t>Relation auto-référencée de measurement_or_fact</t>
  </si>
  <si>
    <t>Exporter le diagramme depuis Looping</t>
  </si>
  <si>
    <t>Relire le schéma avec Darwin Core</t>
  </si>
  <si>
    <t>Réviser les noms de tables et de colonnes</t>
  </si>
  <si>
    <t>Valider le modèle avec l'encadrant</t>
  </si>
  <si>
    <t>Décider que les attributs sont globaux</t>
  </si>
  <si>
    <t>Choisir le stockage des valeurs par type</t>
  </si>
  <si>
    <t>Choisir la gestion des rôles</t>
  </si>
  <si>
    <t>Prévoir les statuts de validation</t>
  </si>
  <si>
    <t>Prévoir la confidentialité des recherches</t>
  </si>
  <si>
    <t>Revoir le modèle après les maquettes</t>
  </si>
  <si>
    <t>Dictionnaire de données (description des tables)</t>
  </si>
  <si>
    <t>scriptSQL</t>
  </si>
  <si>
    <t>Générer le script depuis Looping</t>
  </si>
  <si>
    <t>Ordonner les créations selon les clés étrangères</t>
  </si>
  <si>
    <t>Ajouter les index</t>
  </si>
  <si>
    <t>Relire le script</t>
  </si>
  <si>
    <t>scriptTest</t>
  </si>
  <si>
    <t>Créer une base vide</t>
  </si>
  <si>
    <t>Test</t>
  </si>
  <si>
    <t>Exécuter le script</t>
  </si>
  <si>
    <t>Corriger les erreurs</t>
  </si>
  <si>
    <t>Insérer des lignes de test dans chaque module</t>
  </si>
  <si>
    <t>Vérifier les clés étrangères</t>
  </si>
  <si>
    <t>Sauvegarder le script final</t>
  </si>
  <si>
    <t>Gestion Maquettes</t>
  </si>
  <si>
    <t>maquettes</t>
  </si>
  <si>
    <t>Choisir le template Bootstrap</t>
  </si>
  <si>
    <t>Thème « Forêt », mode sombre et FR/EN</t>
  </si>
  <si>
    <t>Menu latéral</t>
  </si>
  <si>
    <t>Page de connexion</t>
  </si>
  <si>
    <t>Page de mot de passe</t>
  </si>
  <si>
    <t>Tableau de bord</t>
  </si>
  <si>
    <t>Liste des recherches</t>
  </si>
  <si>
    <t>Détail d'une recherche</t>
  </si>
  <si>
    <t>Formulaire de recherche</t>
  </si>
  <si>
    <t>Liste des datasets</t>
  </si>
  <si>
    <t>Formulaire de saisie (lieu, date, taxon)</t>
  </si>
  <si>
    <t>Formulaire de saisie (mesures et identification)</t>
  </si>
  <si>
    <t>Liste des données saisies</t>
  </si>
  <si>
    <t>Page d'import et rapport d'erreurs</t>
  </si>
  <si>
    <t>Catalogue d'attributs</t>
  </si>
  <si>
    <t>Création d'un tableau personnalisé</t>
  </si>
  <si>
    <t>Saisie d'une ligne</t>
  </si>
  <si>
    <t>Fiche taxon</t>
  </si>
  <si>
    <t>Validation des saisies</t>
  </si>
  <si>
    <t>Médias</t>
  </si>
  <si>
    <t>Espace partagé et recherche</t>
  </si>
  <si>
    <t>Notifications</t>
  </si>
  <si>
    <t>Profil</t>
  </si>
  <si>
    <t>Administration des utilisateurs</t>
  </si>
  <si>
    <t>maquettesValidation</t>
  </si>
  <si>
    <t>Présenter les maquettes à l'encadrant</t>
  </si>
  <si>
    <t>Les montrer à un chercheur</t>
  </si>
  <si>
    <t>Noter les retours</t>
  </si>
  <si>
    <t>Corriger les maquettes</t>
  </si>
  <si>
    <t>Gestion Conception</t>
  </si>
  <si>
    <t>dossierConception</t>
  </si>
  <si>
    <t>Découper le schéma en modules</t>
  </si>
  <si>
    <t>Figure 1 : utilisateurs et recherches</t>
  </si>
  <si>
    <t>Figure 2 : terrain et génétique</t>
  </si>
  <si>
    <t>Figure 3 : occurrences, mesures et matériel</t>
  </si>
  <si>
    <t>Figure 4 : identification et taxonomie</t>
  </si>
  <si>
    <t>Choisir les maquettes principales</t>
  </si>
  <si>
    <t>Capturer les maquettes</t>
  </si>
  <si>
    <t>Introduction du dossier</t>
  </si>
  <si>
    <t>Architecture</t>
  </si>
  <si>
    <t>Relecture et mise en forme</t>
  </si>
  <si>
    <t>listeAPI</t>
  </si>
  <si>
    <t>Endpoints d'authentification</t>
  </si>
  <si>
    <t>Endpoints d'invitation et d'utilisateurs</t>
  </si>
  <si>
    <t>Endpoints des recherches et des datasets</t>
  </si>
  <si>
    <t>Endpoints de saisie</t>
  </si>
  <si>
    <t>Endpoints d'import et d'export</t>
  </si>
  <si>
    <t>Endpoints des tableaux personnalisés</t>
  </si>
  <si>
    <t>Endpoints du taxon et du partage</t>
  </si>
  <si>
    <t>Endpoints de synchronisation hors ligne</t>
  </si>
  <si>
    <t>Endpoints de validation</t>
  </si>
  <si>
    <t>Endpoints des médias</t>
  </si>
  <si>
    <t>Endpoints des notifications</t>
  </si>
  <si>
    <t>Rôle autorisé pour chaque endpoint</t>
  </si>
  <si>
    <t>donneesTest</t>
  </si>
  <si>
    <t>Rechercher des exemples de fichiers</t>
  </si>
  <si>
    <t>Fichier Excel propre</t>
  </si>
  <si>
    <t>Fichier CSV propre</t>
  </si>
  <si>
    <t>Fichier avec colonnes manquantes</t>
  </si>
  <si>
    <t>Fichier avec doublons</t>
  </si>
  <si>
    <t>Fichier avec dates mal formatées</t>
  </si>
  <si>
    <t>Fichier avec caractères spéciaux</t>
  </si>
  <si>
    <t>Jeu de données de démonstration</t>
  </si>
  <si>
    <t>planning</t>
  </si>
  <si>
    <t>Lister les phases</t>
  </si>
  <si>
    <t>Découper en semaines</t>
  </si>
  <si>
    <t>Détail jour par jour (S1 à S4)</t>
  </si>
  <si>
    <t>Détail jour par jour (S5 à S8)</t>
  </si>
  <si>
    <t>Détail jour par jour (S9 à S13)</t>
  </si>
  <si>
    <t>Règles en cas de retard</t>
  </si>
  <si>
    <t>Mise en place</t>
  </si>
  <si>
    <t>Gestion Environnement</t>
  </si>
  <si>
    <t>github</t>
  </si>
  <si>
    <t>Créer le dépôt</t>
  </si>
  <si>
    <t>Configuration</t>
  </si>
  <si>
    <t>Dossiers backend et frontend</t>
  </si>
  <si>
    <t>README</t>
  </si>
  <si>
    <t>.gitignore</t>
  </si>
  <si>
    <t>Premier commit</t>
  </si>
  <si>
    <t>Règles de branches</t>
  </si>
  <si>
    <t>docker</t>
  </si>
  <si>
    <t>Service PostgreSQL</t>
  </si>
  <si>
    <t>Service MinIO</t>
  </si>
  <si>
    <t>Volumes persistants</t>
  </si>
  <si>
    <t>Variables d'environnement</t>
  </si>
  <si>
    <t>Démarrage et test</t>
  </si>
  <si>
    <t>dockerSQL</t>
  </si>
  <si>
    <t>Copier le script dans le dossier d'initialisation</t>
  </si>
  <si>
    <t>Démarrer la base</t>
  </si>
  <si>
    <t>Vérifier les 41 tables</t>
  </si>
  <si>
    <t>springBoot</t>
  </si>
  <si>
    <t>Générer le projet</t>
  </si>
  <si>
    <t>Dépendances (Web, Security, JPA, PostgreSQL)</t>
  </si>
  <si>
    <t>Swagger</t>
  </si>
  <si>
    <t>Fichier de configuration (application.yml)</t>
  </si>
  <si>
    <t>Structure des packages</t>
  </si>
  <si>
    <t>Première route de test</t>
  </si>
  <si>
    <t>entites</t>
  </si>
  <si>
    <t>Connexion à PostgreSQL</t>
  </si>
  <si>
    <t>Metier</t>
  </si>
  <si>
    <t>Entité Utilisateur</t>
  </si>
  <si>
    <t>Entité Agent</t>
  </si>
  <si>
    <t>Entité recherche</t>
  </si>
  <si>
    <t>Entité Dataset</t>
  </si>
  <si>
    <t>Repositories</t>
  </si>
  <si>
    <t>vueJs</t>
  </si>
  <si>
    <t>Créer le projet Vue.js</t>
  </si>
  <si>
    <t>Importer le template Bootstrap</t>
  </si>
  <si>
    <t>Layout principal</t>
  </si>
  <si>
    <t>Routage</t>
  </si>
  <si>
    <t>Une page vide par module</t>
  </si>
  <si>
    <t>i18n</t>
  </si>
  <si>
    <t>Installer vue-i18n</t>
  </si>
  <si>
    <t>Affichage</t>
  </si>
  <si>
    <t>Fichiers fr.json et en.json</t>
  </si>
  <si>
    <t>Sélecteur de langue</t>
  </si>
  <si>
    <t>themeSombre</t>
  </si>
  <si>
    <t>Variables de couleurs</t>
  </si>
  <si>
    <t>Bouton de bascule</t>
  </si>
  <si>
    <t>Mémoriser le choix</t>
  </si>
  <si>
    <t>Frontoffice</t>
  </si>
  <si>
    <t>Gestion Authentification</t>
  </si>
  <si>
    <t>authService</t>
  </si>
  <si>
    <t>Endpoint POST /login</t>
  </si>
  <si>
    <t>Vérification de l'e-mail et du mot de passe</t>
  </si>
  <si>
    <t>Génération du jeton</t>
  </si>
  <si>
    <t>Durée de validité du jeton</t>
  </si>
  <si>
    <t>Réponse avec le rôle</t>
  </si>
  <si>
    <t>Erreurs (identifiants invalides)</t>
  </si>
  <si>
    <t>Hachage BCrypt</t>
  </si>
  <si>
    <t>Énumération des rôles</t>
  </si>
  <si>
    <t>Association utilisateur-rôle</t>
  </si>
  <si>
    <t>Rôle dans le jeton</t>
  </si>
  <si>
    <t>securityConfig</t>
  </si>
  <si>
    <t>Filtre de sécurité JWT</t>
  </si>
  <si>
    <t>Règles d'accès par rôle</t>
  </si>
  <si>
    <t>authTest</t>
  </si>
  <si>
    <t>Appel sans jeton (refus)</t>
  </si>
  <si>
    <t>Appel avec jeton (succès)</t>
  </si>
  <si>
    <t>loginView</t>
  </si>
  <si>
    <t>Formulaire e-mail et mot de passe</t>
  </si>
  <si>
    <t>Bouton de connexion</t>
  </si>
  <si>
    <t>Messages d'erreur</t>
  </si>
  <si>
    <t>Lien « mot de passe oublié »</t>
  </si>
  <si>
    <t>Style de la page</t>
  </si>
  <si>
    <t>authStore</t>
  </si>
  <si>
    <t>Stocker le jeton</t>
  </si>
  <si>
    <t>Déconnexion</t>
  </si>
  <si>
    <t>Rester connecté après un rechargement</t>
  </si>
  <si>
    <t>router</t>
  </si>
  <si>
    <t>Garde de navigation (connecté)</t>
  </si>
  <si>
    <t>Garde par rôle</t>
  </si>
  <si>
    <t>Integration : appel de l'API de connexion</t>
  </si>
  <si>
    <t>Integration</t>
  </si>
  <si>
    <t>Integration : redirection après connexion</t>
  </si>
  <si>
    <t>Backoffice</t>
  </si>
  <si>
    <t>Gestion Invitation</t>
  </si>
  <si>
    <t>emailService</t>
  </si>
  <si>
    <t>Configuration SMTP</t>
  </si>
  <si>
    <t>Modèle d'e-mail d'invitation</t>
  </si>
  <si>
    <t>Méthode d'envoi</t>
  </si>
  <si>
    <t>Test avec un outil local</t>
  </si>
  <si>
    <t>invitationService</t>
  </si>
  <si>
    <t>Entité invitation (jeton, expiration)</t>
  </si>
  <si>
    <t>Génération du jeton unique</t>
  </si>
  <si>
    <t>Contrôle : e-mail déjà utilisé</t>
  </si>
  <si>
    <t>Enregistrement de l'invitation</t>
  </si>
  <si>
    <t>Envoi de l'e-mail</t>
  </si>
  <si>
    <t>Endpoint POST /invitations (administrateur)</t>
  </si>
  <si>
    <t>invitationView</t>
  </si>
  <si>
    <t>Champs nom et e-mail</t>
  </si>
  <si>
    <t>Choix du rôle</t>
  </si>
  <si>
    <t>Bouton Inviter et confirmation</t>
  </si>
  <si>
    <t>Integration : appel de l'API d'invitation</t>
  </si>
  <si>
    <t>Integration : message de succès ou d'erreur</t>
  </si>
  <si>
    <t>Gestion Mot de passe</t>
  </si>
  <si>
    <t>motDePasseView</t>
  </si>
  <si>
    <t>Formulaire du nouveau mot de passe</t>
  </si>
  <si>
    <t>Confirmation et règles de complexité</t>
  </si>
  <si>
    <t>Message de lien expiré</t>
  </si>
  <si>
    <t>motDePasseService</t>
  </si>
  <si>
    <t>activerCompte : vérifier le jeton</t>
  </si>
  <si>
    <t>activerCompte : enregistrer le mot de passe haché</t>
  </si>
  <si>
    <t>activerCompte : passer le compte au statut actif</t>
  </si>
  <si>
    <t>reinitView</t>
  </si>
  <si>
    <t>Formulaire de demande par e-mail</t>
  </si>
  <si>
    <t>Message de confirmation</t>
  </si>
  <si>
    <t>reinitialiserMotDePasse : générer le lien</t>
  </si>
  <si>
    <t>reinitialiserMotDePasse : enregistrer le nouveau mot de passe</t>
  </si>
  <si>
    <t>Gestion Utilisateurs</t>
  </si>
  <si>
    <t>usersListView</t>
  </si>
  <si>
    <t>Tableau des utilisateurs</t>
  </si>
  <si>
    <t>Badges de rôle et de statut</t>
  </si>
  <si>
    <t>Recherche et filtre</t>
  </si>
  <si>
    <t>userService</t>
  </si>
  <si>
    <t>getAll</t>
  </si>
  <si>
    <t>modifierRole</t>
  </si>
  <si>
    <t>modifierStatut (activer, désactiver)</t>
  </si>
  <si>
    <t>Endpoints réservés à l'administrateur</t>
  </si>
  <si>
    <t>Integration : charger la liste</t>
  </si>
  <si>
    <t>Integration : changer un rôle</t>
  </si>
  <si>
    <t>Integration : changer un statut</t>
  </si>
  <si>
    <t>Gestion Profil</t>
  </si>
  <si>
    <t>profilView</t>
  </si>
  <si>
    <t>Formulaire des informations</t>
  </si>
  <si>
    <t>Formulaire de changement du mot de passe</t>
  </si>
  <si>
    <t>profilService</t>
  </si>
  <si>
    <t>modifierProfil</t>
  </si>
  <si>
    <t>changerMotDePasse (ancien mot de passe vérifié)</t>
  </si>
  <si>
    <t>Endpoints GET et PUT /profil</t>
  </si>
  <si>
    <t>Integration : charger et enregistrer le profil</t>
  </si>
  <si>
    <t>Gestion Recherche</t>
  </si>
  <si>
    <t>rechercheService</t>
  </si>
  <si>
    <t>Entité et DTO de recherche</t>
  </si>
  <si>
    <t>Créer (privée par défaut, RG-01)</t>
  </si>
  <si>
    <t>Modifier et supprimer</t>
  </si>
  <si>
    <t>Lister et getById selon le propriétaire</t>
  </si>
  <si>
    <t>rechercheListView</t>
  </si>
  <si>
    <t>Liste à gauche</t>
  </si>
  <si>
    <t>Panneau de détail à droite</t>
  </si>
  <si>
    <t>Bouton « nouvelle recherche »</t>
  </si>
  <si>
    <t>Recherche dans la liste</t>
  </si>
  <si>
    <t>Message de liste vide</t>
  </si>
  <si>
    <t>Style et affichage mobile</t>
  </si>
  <si>
    <t>rechercheFormView</t>
  </si>
  <si>
    <t>Champs sujet, description et dates</t>
  </si>
  <si>
    <t>Choix de la confidentialité</t>
  </si>
  <si>
    <t>Note personnelle</t>
  </si>
  <si>
    <t>Validation du formulaire</t>
  </si>
  <si>
    <t>Fenêtre de confirmation de suppression</t>
  </si>
  <si>
    <t>Integration : créer</t>
  </si>
  <si>
    <t>Integration : modifier</t>
  </si>
  <si>
    <t>Integration : supprimer</t>
  </si>
  <si>
    <t>Gestion Dataset</t>
  </si>
  <si>
    <t>datasetService</t>
  </si>
  <si>
    <t>Créer (rattaché à une recherche)</t>
  </si>
  <si>
    <t>Lister les datasets d'une recherche</t>
  </si>
  <si>
    <t>datasetListView</t>
  </si>
  <si>
    <t>Tableau des datasets</t>
  </si>
  <si>
    <t>Bouton ajouter</t>
  </si>
  <si>
    <t>Licence et titulaire des droits</t>
  </si>
  <si>
    <t>États vide et chargement</t>
  </si>
  <si>
    <t>datasetFormView</t>
  </si>
  <si>
    <t>Champs nom, licence et titulaire</t>
  </si>
  <si>
    <t>Validation</t>
  </si>
  <si>
    <t>Integration : charger et créer</t>
  </si>
  <si>
    <t>Integration : modifier et supprimer</t>
  </si>
  <si>
    <t>Gestion Saisie</t>
  </si>
  <si>
    <t>referentielService</t>
  </si>
  <si>
    <t>Liste des pays</t>
  </si>
  <si>
    <t>Liste des provinces par pays</t>
  </si>
  <si>
    <t>Liste des rangs taxonomiques</t>
  </si>
  <si>
    <t>Recherche de taxon par nom</t>
  </si>
  <si>
    <t>saisieService</t>
  </si>
  <si>
    <t>DTO de saisie</t>
  </si>
  <si>
    <t>creerOccurrence : créer ou retrouver la Location</t>
  </si>
  <si>
    <t>creerOccurrence : créer l'Event (date, protocole)</t>
  </si>
  <si>
    <t>creerOccurrence : créer l'Organism</t>
  </si>
  <si>
    <t>creerOccurrence : créer ou retrouver le Taxon</t>
  </si>
  <si>
    <t>creerOccurrence : créer l'Occurrence (statut, effectif)</t>
  </si>
  <si>
    <t>creerOccurrence : transaction et test Swagger</t>
  </si>
  <si>
    <t>saisieView</t>
  </si>
  <si>
    <t>Section lieu (pays, province, localité)</t>
  </si>
  <si>
    <t>Coordonnées GPS</t>
  </si>
  <si>
    <t>Section date de l'événement</t>
  </si>
  <si>
    <t>Section taxon (recherche)</t>
  </si>
  <si>
    <t>Effectif et statut de l'occurrence</t>
  </si>
  <si>
    <t>Boutons enregistrer et annuler</t>
  </si>
  <si>
    <t>Disposition en étapes</t>
  </si>
  <si>
    <t>Champs obligatoires</t>
  </si>
  <si>
    <t>Validation des coordonnées</t>
  </si>
  <si>
    <t>Validation de la date</t>
  </si>
  <si>
    <t>Messages d'erreur sous les champs</t>
  </si>
  <si>
    <t>Integration : charger les listes de référence</t>
  </si>
  <si>
    <t>Integration : envoyer la saisie</t>
  </si>
  <si>
    <t>mesureService</t>
  </si>
  <si>
    <t>Types de mesure</t>
  </si>
  <si>
    <t>Unités de mesure</t>
  </si>
  <si>
    <t>Enregistrer une mesure</t>
  </si>
  <si>
    <t>Mesure liée à une autre (auto-référence)</t>
  </si>
  <si>
    <t>Endpoint des mesures</t>
  </si>
  <si>
    <t>identificationService</t>
  </si>
  <si>
    <t>Enregistrer l'identification</t>
  </si>
  <si>
    <t>Marquer l'identification acceptée</t>
  </si>
  <si>
    <t>Bloc mesures (ajout et suppression de lignes)</t>
  </si>
  <si>
    <t>Bloc identification</t>
  </si>
  <si>
    <t>Qualificatif et date d'identification</t>
  </si>
  <si>
    <t>Integration : envoyer mesures et identification</t>
  </si>
  <si>
    <t>occurrenceListView</t>
  </si>
  <si>
    <t>Tableau des occurrences</t>
  </si>
  <si>
    <t>Filtres</t>
  </si>
  <si>
    <t>Page de détail</t>
  </si>
  <si>
    <t>modifierOccurrence : charger l'occurrence</t>
  </si>
  <si>
    <t>modifierOccurrence : mettre à jour les tables liées</t>
  </si>
  <si>
    <t>modifierOccurrence : droits de modification</t>
  </si>
  <si>
    <t>Integration : enregistrer une modification</t>
  </si>
  <si>
    <t>demoIteration1</t>
  </si>
  <si>
    <t>Tester le parcours complet</t>
  </si>
  <si>
    <t>Préparer la démonstration</t>
  </si>
  <si>
    <t>Démonstration à l'encadrant (itération 1)</t>
  </si>
  <si>
    <t>Gestion Import</t>
  </si>
  <si>
    <t>etlLecture</t>
  </si>
  <si>
    <t>Choisir le format de fichier cible</t>
  </si>
  <si>
    <t>Lecture Excel (pandas)</t>
  </si>
  <si>
    <t>Lecture CSV (encodage, séparateur)</t>
  </si>
  <si>
    <t>Détection des colonnes</t>
  </si>
  <si>
    <t>etlMapping</t>
  </si>
  <si>
    <t>Tableau colonnes vers tables</t>
  </si>
  <si>
    <t>Colonnes de Event et Location</t>
  </si>
  <si>
    <t>Colonnes de Occurrence et Taxon</t>
  </si>
  <si>
    <t>etlNettoyage</t>
  </si>
  <si>
    <t>Espaces et casse</t>
  </si>
  <si>
    <t>Format des dates</t>
  </si>
  <si>
    <t>Coordonnées et décimales</t>
  </si>
  <si>
    <t>etlValidation</t>
  </si>
  <si>
    <t>Types de données</t>
  </si>
  <si>
    <t>Dates valides</t>
  </si>
  <si>
    <t>Coordonnées dans les limites</t>
  </si>
  <si>
    <t>Valeurs autorisées (listes)</t>
  </si>
  <si>
    <t>etlRapport</t>
  </si>
  <si>
    <t>Structure du rapport (ligne, colonne, problème)</t>
  </si>
  <si>
    <t>Collecter les erreurs</t>
  </si>
  <si>
    <t>Niveaux (erreur, avertissement)</t>
  </si>
  <si>
    <t>Export du rapport en CSV</t>
  </si>
  <si>
    <t>Tests du rapport</t>
  </si>
  <si>
    <t>etlDedoublonnage</t>
  </si>
  <si>
    <t>Définir la clé d'unicité</t>
  </si>
  <si>
    <t>Doublons dans le fichier</t>
  </si>
  <si>
    <t>Doublons avec la base</t>
  </si>
  <si>
    <t>Choix : ignorer ou mettre à jour</t>
  </si>
  <si>
    <t>Tests du dédoublonnage</t>
  </si>
  <si>
    <t>etlChargement</t>
  </si>
  <si>
    <t>Transaction globale</t>
  </si>
  <si>
    <t>Insertion par lots</t>
  </si>
  <si>
    <t>Annulation en cas d'erreur</t>
  </si>
  <si>
    <t>etlTests</t>
  </si>
  <si>
    <t>Tester avec un fichier propre</t>
  </si>
  <si>
    <t>Vérifier les données en base</t>
  </si>
  <si>
    <t>importService</t>
  </si>
  <si>
    <t>Endpoint d'envoi du fichier</t>
  </si>
  <si>
    <t>Contrôle du type et de la taille</t>
  </si>
  <si>
    <t>Appel du module Python</t>
  </si>
  <si>
    <t>Récupération du résultat</t>
  </si>
  <si>
    <t>Client MinIO</t>
  </si>
  <si>
    <t>Enregistrer le fichier source</t>
  </si>
  <si>
    <t>importView</t>
  </si>
  <si>
    <t>Zone de dépôt du fichier</t>
  </si>
  <si>
    <t>Barre de progression et statut</t>
  </si>
  <si>
    <t>Tableau des erreurs</t>
  </si>
  <si>
    <t>Résumé (lignes importées et rejetées)</t>
  </si>
  <si>
    <t>Integration : envoi du fichier et lecture du rapport</t>
  </si>
  <si>
    <t>importTests</t>
  </si>
  <si>
    <t>Colonnes manquantes</t>
  </si>
  <si>
    <t>Doublons</t>
  </si>
  <si>
    <t>Dates mal formatées</t>
  </si>
  <si>
    <t>Caractères spéciaux</t>
  </si>
  <si>
    <t>Gestion Export</t>
  </si>
  <si>
    <t>exportService</t>
  </si>
  <si>
    <t>Requête des données à exporter</t>
  </si>
  <si>
    <t>Génération du CSV</t>
  </si>
  <si>
    <t>Endpoint de téléchargement</t>
  </si>
  <si>
    <t>exportView</t>
  </si>
  <si>
    <t>Bouton d'export</t>
  </si>
  <si>
    <t>Integration : télécharger le fichier</t>
  </si>
  <si>
    <t>Gestion Attributs</t>
  </si>
  <si>
    <t>attributService</t>
  </si>
  <si>
    <t>Entité Attribut (nom, clé, type)</t>
  </si>
  <si>
    <t>Créer (nom et clé uniques)</t>
  </si>
  <si>
    <t>Lister</t>
  </si>
  <si>
    <t>attributListView</t>
  </si>
  <si>
    <t>Tableau du catalogue</t>
  </si>
  <si>
    <t>Recherche d'un attribut</t>
  </si>
  <si>
    <t>Badge du type de donnée</t>
  </si>
  <si>
    <t>attributFormView</t>
  </si>
  <si>
    <t>Champs nom, clé et type</t>
  </si>
  <si>
    <t>Validation d'unicité</t>
  </si>
  <si>
    <t>Integration : charger et enregistrer les attributs</t>
  </si>
  <si>
    <t>Gestion Tableaux personnalises</t>
  </si>
  <si>
    <t>tableauService</t>
  </si>
  <si>
    <t>Entité tableau_personnalise</t>
  </si>
  <si>
    <t>Créer le tableau rattaché à un dataset</t>
  </si>
  <si>
    <t>Associer les attributs choisis</t>
  </si>
  <si>
    <t>Lister les tableaux</t>
  </si>
  <si>
    <t>Supprimer un tableau</t>
  </si>
  <si>
    <t>tableauCreationView</t>
  </si>
  <si>
    <t>Champ nom du tableau</t>
  </si>
  <si>
    <t>Choix du dataset</t>
  </si>
  <si>
    <t>Sélection des attributs du catalogue</t>
  </si>
  <si>
    <t>Ordre des colonnes</t>
  </si>
  <si>
    <t>Aperçu du tableau</t>
  </si>
  <si>
    <t>Integration : créer un tableau</t>
  </si>
  <si>
    <t>ligneService</t>
  </si>
  <si>
    <t>Entité ligne</t>
  </si>
  <si>
    <t>Valeur texte</t>
  </si>
  <si>
    <t>Valeur nombre</t>
  </si>
  <si>
    <t>Valeur booléen et date</t>
  </si>
  <si>
    <t>Contrôle du type à l'enregistrement</t>
  </si>
  <si>
    <t>ligneSaisieView</t>
  </si>
  <si>
    <t>Génération des champs selon le type</t>
  </si>
  <si>
    <t>Champ texte et nombre</t>
  </si>
  <si>
    <t>Champ booléen</t>
  </si>
  <si>
    <t>Champ date</t>
  </si>
  <si>
    <t>Tableau des lignes saisies</t>
  </si>
  <si>
    <t>Integration : enregistrer une ligne</t>
  </si>
  <si>
    <t>Gestion Taxon</t>
  </si>
  <si>
    <t>taxonService</t>
  </si>
  <si>
    <t>getTaxon</t>
  </si>
  <si>
    <t>Recherche par nom scientifique</t>
  </si>
  <si>
    <t>modifierTaxon</t>
  </si>
  <si>
    <t>Droit réservé au chercheur principal (RG-04)</t>
  </si>
  <si>
    <t>taxonFicheView</t>
  </si>
  <si>
    <t>En-tête avec le nom scientifique</t>
  </si>
  <si>
    <t>Classification (du règne à l'espèce)</t>
  </si>
  <si>
    <t>Liste des occurrences liées</t>
  </si>
  <si>
    <t>Mode édition</t>
  </si>
  <si>
    <t>Integration : charger la fiche</t>
  </si>
  <si>
    <t>Gestion Partage</t>
  </si>
  <si>
    <t>partageService</t>
  </si>
  <si>
    <t>Champ de confidentialité sur la recherche</t>
  </si>
  <si>
    <t>partager une recherche</t>
  </si>
  <si>
    <t>retirer le partage</t>
  </si>
  <si>
    <t>Lister les recherches partagées</t>
  </si>
  <si>
    <t>partageView</t>
  </si>
  <si>
    <t>Interrupteur privé / partagé</t>
  </si>
  <si>
    <t>Fenêtre de confirmation</t>
  </si>
  <si>
    <t>espacePartageView</t>
  </si>
  <si>
    <t>Liste des recherches partagées</t>
  </si>
  <si>
    <t>Fiche en lecture seule</t>
  </si>
  <si>
    <t>Integration : charger l'espace partagé</t>
  </si>
  <si>
    <t>demoIteration2</t>
  </si>
  <si>
    <t>Démonstration à l'encadrant (itération 2)</t>
  </si>
  <si>
    <t>Gestion Hors ligne</t>
  </si>
  <si>
    <t>serviceWorker</t>
  </si>
  <si>
    <t>Enregistrer le Service Worker</t>
  </si>
  <si>
    <t>Liste des fichiers à mettre en cache</t>
  </si>
  <si>
    <t>Stratégie de cache</t>
  </si>
  <si>
    <t>Mise à jour du cache</t>
  </si>
  <si>
    <t>Page de secours</t>
  </si>
  <si>
    <t>Ouvrir l'application réseau coupé</t>
  </si>
  <si>
    <t>Naviguer entre les pages réseau coupé</t>
  </si>
  <si>
    <t>Recharger la page réseau coupé</t>
  </si>
  <si>
    <t>Tester dans un navigateur</t>
  </si>
  <si>
    <t>Tester dans un autre navigateur</t>
  </si>
  <si>
    <t>dexieService</t>
  </si>
  <si>
    <t>Installer Dexie.js</t>
  </si>
  <si>
    <t>Tables locales (occurrences, mesures)</t>
  </si>
  <si>
    <t>Table de file d'attente</t>
  </si>
  <si>
    <t>Versionnement du schéma</t>
  </si>
  <si>
    <t>Test de lecture et d'écriture</t>
  </si>
  <si>
    <t>Détecter l'absence de réseau à l'envoi</t>
  </si>
  <si>
    <t>Sérialiser la saisie</t>
  </si>
  <si>
    <t>Identifiant local unique</t>
  </si>
  <si>
    <t>Enregistrer dans IndexedDB</t>
  </si>
  <si>
    <t>Relire les saisies locales</t>
  </si>
  <si>
    <t>Message à l'utilisateur</t>
  </si>
  <si>
    <t>connexionService</t>
  </si>
  <si>
    <t>Événements online et offline</t>
  </si>
  <si>
    <t>Vérification par appel API</t>
  </si>
  <si>
    <t>État global (store)</t>
  </si>
  <si>
    <t>statutConnexionView</t>
  </si>
  <si>
    <t>Pastille en ligne / hors ligne</t>
  </si>
  <si>
    <t>Bannière hors ligne</t>
  </si>
  <si>
    <t>Textes en français et en anglais</t>
  </si>
  <si>
    <t>fileAttenteView</t>
  </si>
  <si>
    <t>Liste des saisies en attente</t>
  </si>
  <si>
    <t>Statut (en attente, envoyée, erreur)</t>
  </si>
  <si>
    <t>Compteur dans le menu</t>
  </si>
  <si>
    <t>Bouton de relance manuelle</t>
  </si>
  <si>
    <t>syncService</t>
  </si>
  <si>
    <t>Détecter le retour du réseau</t>
  </si>
  <si>
    <t>Envoyer les saisies dans l'ordre</t>
  </si>
  <si>
    <t>Supprimer les saisies envoyées</t>
  </si>
  <si>
    <t>Mettre à jour le statut</t>
  </si>
  <si>
    <t>Endpoint de réception groupée</t>
  </si>
  <si>
    <t>Réessayer après une erreur</t>
  </si>
  <si>
    <t>Erreur de validation (saisie refusée)</t>
  </si>
  <si>
    <t>Journal des erreurs</t>
  </si>
  <si>
    <t>Identifiant local envoyé au serveur</t>
  </si>
  <si>
    <t>Rejeter une saisie déjà reçue</t>
  </si>
  <si>
    <t>horsLigneTests</t>
  </si>
  <si>
    <t>Une saisie hors ligne</t>
  </si>
  <si>
    <t>Plusieurs saisies</t>
  </si>
  <si>
    <t>Rechargement de la page</t>
  </si>
  <si>
    <t>Retour du réseau</t>
  </si>
  <si>
    <t>Coupure pendant l'envoi</t>
  </si>
  <si>
    <t>Corriger les anomalies du cache</t>
  </si>
  <si>
    <t>Corriger les anomalies de synchronisation</t>
  </si>
  <si>
    <t>Corriger l'affichage de la file d'attente</t>
  </si>
  <si>
    <t>Retester le scénario complet</t>
  </si>
  <si>
    <t>Gestion Validation</t>
  </si>
  <si>
    <t>validationService</t>
  </si>
  <si>
    <t>Champ statut (en attente, validé, rejeté)</t>
  </si>
  <si>
    <t>Changer le statut</t>
  </si>
  <si>
    <t>Contrôle du droit du chercheur</t>
  </si>
  <si>
    <t>Motif de rejet</t>
  </si>
  <si>
    <t>Reconnaître le rôle agent de saisie</t>
  </si>
  <si>
    <t>Statut « en attente » à l'enregistrement (RG-03)</t>
  </si>
  <si>
    <t>Lier l'agent au chercheur</t>
  </si>
  <si>
    <t>Lister les saisies d'un agent</t>
  </si>
  <si>
    <t>Tester la validation</t>
  </si>
  <si>
    <t>validationListView</t>
  </si>
  <si>
    <t>Tableau des saisies à valider</t>
  </si>
  <si>
    <t>Filtres par agent et statut</t>
  </si>
  <si>
    <t>Compteur</t>
  </si>
  <si>
    <t>validationDetailView</t>
  </si>
  <si>
    <t>Affichage de la saisie</t>
  </si>
  <si>
    <t>Boutons valider et rejeter</t>
  </si>
  <si>
    <t>Champ du motif de rejet</t>
  </si>
  <si>
    <t>Integration : valider ou rejeter</t>
  </si>
  <si>
    <t>historiqueService</t>
  </si>
  <si>
    <t>Enregistrer chaque événement</t>
  </si>
  <si>
    <t>Afficher l'historique</t>
  </si>
  <si>
    <t>Gestion Medias</t>
  </si>
  <si>
    <t>mediaService</t>
  </si>
  <si>
    <t>Client MinIO (bucket)</t>
  </si>
  <si>
    <t>Endpoint d'envoi</t>
  </si>
  <si>
    <t>Enregistrer la référence en base</t>
  </si>
  <si>
    <t>Endpoint de lecture</t>
  </si>
  <si>
    <t>URL signée temporaire</t>
  </si>
  <si>
    <t>Contrôle d'accès</t>
  </si>
  <si>
    <t>Supprimer le fichier dans MinIO</t>
  </si>
  <si>
    <t>Supprimer la référence</t>
  </si>
  <si>
    <t>Droit de suppression</t>
  </si>
  <si>
    <t>mediaListView</t>
  </si>
  <si>
    <t>Grille de vignettes</t>
  </si>
  <si>
    <t>Aperçu photo</t>
  </si>
  <si>
    <t>Lecteur vidéo</t>
  </si>
  <si>
    <t>Légende et commentaire</t>
  </si>
  <si>
    <t>Filtre par type</t>
  </si>
  <si>
    <t>mediaUploadView</t>
  </si>
  <si>
    <t>Zone de dépôt</t>
  </si>
  <si>
    <t>Barre de progression</t>
  </si>
  <si>
    <t>Choix de l'occurrence liée</t>
  </si>
  <si>
    <t>Integration : envoyer un fichier</t>
  </si>
  <si>
    <t>Integration : afficher les médias d'une occurrence</t>
  </si>
  <si>
    <t>revueSemaine9</t>
  </si>
  <si>
    <t>Tester les médias</t>
  </si>
  <si>
    <t>Corriger les anomalies de validation</t>
  </si>
  <si>
    <t>Corriger les anomalies des médias</t>
  </si>
  <si>
    <t>Revoir l'interface</t>
  </si>
  <si>
    <t>Mettre à jour le carnet de bord</t>
  </si>
  <si>
    <t>Gestion Recherche espace partage</t>
  </si>
  <si>
    <t>rechercheEspaceService</t>
  </si>
  <si>
    <t>Recherche par nom d'espèce</t>
  </si>
  <si>
    <t>Recherche par observation</t>
  </si>
  <si>
    <t>Recherche par jeu de données</t>
  </si>
  <si>
    <t>Pagination</t>
  </si>
  <si>
    <t>Limiter aux données partagées</t>
  </si>
  <si>
    <t>rechercheEspaceView</t>
  </si>
  <si>
    <t>Barre de recherche</t>
  </si>
  <si>
    <t>Liste de résultats</t>
  </si>
  <si>
    <t>Page de résultat</t>
  </si>
  <si>
    <t>Integration : lancer une recherche</t>
  </si>
  <si>
    <t>Gestion Notifications</t>
  </si>
  <si>
    <t>notificationService</t>
  </si>
  <si>
    <t>Entité notification</t>
  </si>
  <si>
    <t>Notification d'invitation</t>
  </si>
  <si>
    <t>Notification de demande de validation</t>
  </si>
  <si>
    <t>Notification de validation ou de rejet</t>
  </si>
  <si>
    <t>Notification de partage</t>
  </si>
  <si>
    <t>Tester la création des notifications</t>
  </si>
  <si>
    <t>Compter les non lues</t>
  </si>
  <si>
    <t>Marquer comme lue</t>
  </si>
  <si>
    <t>Tout marquer comme lu</t>
  </si>
  <si>
    <t>notificationView</t>
  </si>
  <si>
    <t>Icône cloche</t>
  </si>
  <si>
    <t>Menu déroulant</t>
  </si>
  <si>
    <t>Rafraîchissement régulier</t>
  </si>
  <si>
    <t>Page des notifications</t>
  </si>
  <si>
    <t>Marquer comme lue au clic</t>
  </si>
  <si>
    <t>Lien vers la page concernée</t>
  </si>
  <si>
    <t>Integration : charger le compteur</t>
  </si>
  <si>
    <t>Integration : marquer comme lue</t>
  </si>
  <si>
    <t>Gestion Bonus</t>
  </si>
  <si>
    <t>dashboardView</t>
  </si>
  <si>
    <t>Choisir : tableau de bord (BF-13) ou espace thèse (BF-11)</t>
  </si>
  <si>
    <t>API du tableau de bord</t>
  </si>
  <si>
    <t>Cartes de chiffres clés</t>
  </si>
  <si>
    <t>Graphique des occurrences par mois</t>
  </si>
  <si>
    <t>Notes personnelles : formulaire</t>
  </si>
  <si>
    <t>Notes personnelles : liste</t>
  </si>
  <si>
    <t>Notes personnelles : enregistrement</t>
  </si>
  <si>
    <t>Integration : tableau de bord et notes</t>
  </si>
  <si>
    <t>Tests</t>
  </si>
  <si>
    <t>Style</t>
  </si>
  <si>
    <t>Gestion Gel des fonctionnalites</t>
  </si>
  <si>
    <t>gel</t>
  </si>
  <si>
    <t>Revue : authentification et utilisateurs</t>
  </si>
  <si>
    <t>Revue : recherches et datasets</t>
  </si>
  <si>
    <t>Revue : saisie</t>
  </si>
  <si>
    <t>Revue : import et export</t>
  </si>
  <si>
    <t>Revue : tableaux personnalisés, taxon et partage</t>
  </si>
  <si>
    <t>Revue : hors ligne, validation, médias et notifications</t>
  </si>
  <si>
    <t>Corrections avant le gel (1)</t>
  </si>
  <si>
    <t>Corrections avant le gel (2)</t>
  </si>
  <si>
    <t>Nettoyer le code et les commentaires</t>
  </si>
  <si>
    <t>Créer l'étiquette de version</t>
  </si>
  <si>
    <t>Pousser sur GitHub</t>
  </si>
  <si>
    <t>Tests et recette</t>
  </si>
  <si>
    <t>Gestion Tests</t>
  </si>
  <si>
    <t>planTest</t>
  </si>
  <si>
    <t>Lister les besoins BF-01 à BF-17</t>
  </si>
  <si>
    <t>Colonnes du tableau (besoin, scénario, résultat attendu)</t>
  </si>
  <si>
    <t>Scénarios BF-01 à BF-04</t>
  </si>
  <si>
    <t>Scénarios BF-05 à BF-08</t>
  </si>
  <si>
    <t>Scénarios BF-09 à BF-12</t>
  </si>
  <si>
    <t>Scénarios BF-13 à BF-17</t>
  </si>
  <si>
    <t>Résultats attendus</t>
  </si>
  <si>
    <t>Données de test à utiliser</t>
  </si>
  <si>
    <t>Relecture</t>
  </si>
  <si>
    <t>Mise en page</t>
  </si>
  <si>
    <t>testsRoles</t>
  </si>
  <si>
    <t>Chercheur principal : connexion et profil</t>
  </si>
  <si>
    <t>Chercheur principal : recherches et saisie</t>
  </si>
  <si>
    <t>Chercheur principal : import, export et partage</t>
  </si>
  <si>
    <t>Étudiant : parcours principal</t>
  </si>
  <si>
    <t>Étudiant : limites de ses droits</t>
  </si>
  <si>
    <t>Agent de saisie : saisie</t>
  </si>
  <si>
    <t>Agent de saisie : attente de validation</t>
  </si>
  <si>
    <t>Administrateur : utilisateurs et invitations</t>
  </si>
  <si>
    <t>Administrateur : rôles et statuts</t>
  </si>
  <si>
    <t>Vérifier les droits (données privées)</t>
  </si>
  <si>
    <t>testsHorsLigne</t>
  </si>
  <si>
    <t>Saisie hors ligne</t>
  </si>
  <si>
    <t>Aucune perte de données</t>
  </si>
  <si>
    <t>Aucun doublon</t>
  </si>
  <si>
    <t>testsImport</t>
  </si>
  <si>
    <t>Gros fichier</t>
  </si>
  <si>
    <t>testsAuto</t>
  </si>
  <si>
    <t>Authentification : connexion réussie</t>
  </si>
  <si>
    <t>Authentification : connexion refusée</t>
  </si>
  <si>
    <t>Authentification : accès sans jeton</t>
  </si>
  <si>
    <t>Authentification : mauvais rôle</t>
  </si>
  <si>
    <t>Droits : données d'un autre chercheur</t>
  </si>
  <si>
    <t>Droits : un agent ne valide pas</t>
  </si>
  <si>
    <t>Droits : un étudiant ne modifie pas le taxon</t>
  </si>
  <si>
    <t>Droits : données partagées en lecture seule</t>
  </si>
  <si>
    <t>ETL : fichier valide</t>
  </si>
  <si>
    <t>ETL : fichier invalide</t>
  </si>
  <si>
    <t>ETL : doublons</t>
  </si>
  <si>
    <t>ETL : transaction annulée</t>
  </si>
  <si>
    <t>corrections</t>
  </si>
  <si>
    <t>Trier les anomalies par gravité</t>
  </si>
  <si>
    <t>Corriger : perte de données</t>
  </si>
  <si>
    <t>Corriger : failles d'accès</t>
  </si>
  <si>
    <t>Corriger : erreurs d'import</t>
  </si>
  <si>
    <t>Corriger : erreurs de saisie</t>
  </si>
  <si>
    <t>Corriger : erreurs de synchronisation</t>
  </si>
  <si>
    <t>Corriger : erreurs d'affichage</t>
  </si>
  <si>
    <t>Retester les corrections</t>
  </si>
  <si>
    <t>Retester les parcours principaux</t>
  </si>
  <si>
    <t>Mettre à jour le plan de test</t>
  </si>
  <si>
    <t>Corriger : anomalies mineures d'affichage</t>
  </si>
  <si>
    <t>Corriger : textes et traductions</t>
  </si>
  <si>
    <t>Corriger : mode sombre</t>
  </si>
  <si>
    <t>Corriger : messages d'erreur</t>
  </si>
  <si>
    <t>Corriger : performances</t>
  </si>
  <si>
    <t>Retester les anomalies restantes</t>
  </si>
  <si>
    <t>Gestion Recette</t>
  </si>
  <si>
    <t>recette</t>
  </si>
  <si>
    <t>Scénario de démonstration</t>
  </si>
  <si>
    <t>Répéter la démonstration</t>
  </si>
  <si>
    <t>Préparer les comptes de démonstration</t>
  </si>
  <si>
    <t>Présenter l'application</t>
  </si>
  <si>
    <t>Démonstration : recherches et saisie</t>
  </si>
  <si>
    <t>Démonstration : import et export</t>
  </si>
  <si>
    <t>Démonstration : tableaux personnalisés</t>
  </si>
  <si>
    <t>Démonstration : hors ligne</t>
  </si>
  <si>
    <t>Démonstration : validation et partage</t>
  </si>
  <si>
    <t>Questions et retours des utilisateurs</t>
  </si>
  <si>
    <t>Prendre des notes</t>
  </si>
  <si>
    <t>Lister les corrections demandées</t>
  </si>
  <si>
    <t>Prioriser les corrections</t>
  </si>
  <si>
    <t>Corriger : retours sur les recherches</t>
  </si>
  <si>
    <t>Corriger : retours sur la saisie</t>
  </si>
  <si>
    <t>Corriger : retours sur l'import et l'export</t>
  </si>
  <si>
    <t>Corriger : retours sur les tableaux personnalisés</t>
  </si>
  <si>
    <t>Corriger : retours sur le hors ligne</t>
  </si>
  <si>
    <t>Corriger : retours sur la validation et le partage</t>
  </si>
  <si>
    <t>Corriger : retours sur l'interface</t>
  </si>
  <si>
    <t>Retester les corrections (1)</t>
  </si>
  <si>
    <t>Retester les corrections (2)</t>
  </si>
  <si>
    <t>Re-test rapide : parcours principal</t>
  </si>
  <si>
    <t>Re-test rapide : import et hors ligne</t>
  </si>
  <si>
    <t>Re-test rapide : droits</t>
  </si>
  <si>
    <t>Rédiger le procès-verbal de recette</t>
  </si>
  <si>
    <t>Faire valider le procès-verbal (e-mail)</t>
  </si>
  <si>
    <t>Mise en production</t>
  </si>
  <si>
    <t>Gestion Deploiement</t>
  </si>
  <si>
    <t>docker-compose : service frontend</t>
  </si>
  <si>
    <t>Deploiement</t>
  </si>
  <si>
    <t>docker-compose : service backend</t>
  </si>
  <si>
    <t>docker-compose : service PostgreSQL</t>
  </si>
  <si>
    <t>docker-compose : service MinIO</t>
  </si>
  <si>
    <t>docker-compose : service ETL</t>
  </si>
  <si>
    <t>docker-compose : réseau et volumes</t>
  </si>
  <si>
    <t>Fichier .env</t>
  </si>
  <si>
    <t>Retirer les mots de passe du code</t>
  </si>
  <si>
    <t>Cloner le dépôt sur une machine vierge</t>
  </si>
  <si>
    <t>Lancer docker compose</t>
  </si>
  <si>
    <t>Vérifier chaque service</t>
  </si>
  <si>
    <t>deploiement</t>
  </si>
  <si>
    <t>Préparer le serveur</t>
  </si>
  <si>
    <t>Copier le projet</t>
  </si>
  <si>
    <t>Variables d'environnement du serveur</t>
  </si>
  <si>
    <t>Lancer les services</t>
  </si>
  <si>
    <t>Nom de domaine ou adresse</t>
  </si>
  <si>
    <t>Sécuriser (HTTPS)</t>
  </si>
  <si>
    <t>Test en conditions réelles : connexion</t>
  </si>
  <si>
    <t>Test en conditions réelles : saisie</t>
  </si>
  <si>
    <t>Test en conditions réelles : import</t>
  </si>
  <si>
    <t>Test en conditions réelles : médias</t>
  </si>
  <si>
    <t>Gestion Documentation</t>
  </si>
  <si>
    <t>docTechnique</t>
  </si>
  <si>
    <t>Installation : prérequis</t>
  </si>
  <si>
    <t>Installation : étapes</t>
  </si>
  <si>
    <t>Installation : premier démarrage</t>
  </si>
  <si>
    <t>Architecture : schéma</t>
  </si>
  <si>
    <t>Architecture : rôle de chaque composant</t>
  </si>
  <si>
    <t>Architecture : flux de données</t>
  </si>
  <si>
    <t>Configuration : variables d'environnement</t>
  </si>
  <si>
    <t>Configuration : e-mail et MinIO</t>
  </si>
  <si>
    <t>Lancer et arrêter l'application</t>
  </si>
  <si>
    <t>Sauvegarder et restaurer la base</t>
  </si>
  <si>
    <t>Gestion Livrables</t>
  </si>
  <si>
    <t>livrables</t>
  </si>
  <si>
    <t>Lister les livrables</t>
  </si>
  <si>
    <t>Rassembler les fichiers</t>
  </si>
  <si>
    <t>Remettre à l'encadrant</t>
  </si>
  <si>
    <t>soutenance</t>
  </si>
  <si>
    <t>Diapositives : plan</t>
  </si>
  <si>
    <t>Diapositives : contexte et objectifs</t>
  </si>
  <si>
    <t>Diapositives : conception</t>
  </si>
  <si>
    <t>Diapositives : réalisation</t>
  </si>
  <si>
    <t>Diapositives : tests et résultats</t>
  </si>
  <si>
    <t>Diapositives : conclusion et perspectives</t>
  </si>
  <si>
    <t>Écrire le scénario de démonstration</t>
  </si>
  <si>
    <t>Préparer les données de démonstration</t>
  </si>
  <si>
    <t>Vidéo de secours : enregistrer l'écran</t>
  </si>
  <si>
    <t>Vidéo de secours : montage et export</t>
  </si>
  <si>
    <t>Première répétition</t>
  </si>
  <si>
    <t>Corriger le timing</t>
  </si>
  <si>
    <t>Deuxième répétition</t>
  </si>
  <si>
    <t>Préparer les questions possibles</t>
  </si>
  <si>
    <t>Vérifier chaque livrable</t>
  </si>
  <si>
    <t>Vérifier les accès GitHub et le serveur</t>
  </si>
  <si>
    <t>Guide d'utilisation</t>
  </si>
  <si>
    <t>Gestion Guide</t>
  </si>
  <si>
    <t>guide</t>
  </si>
  <si>
    <t>Captures : connexion</t>
  </si>
  <si>
    <t>Captures : recherches</t>
  </si>
  <si>
    <t>Captures : saisie</t>
  </si>
  <si>
    <t>Captures : import</t>
  </si>
  <si>
    <t>Captures : tableaux personnalisés</t>
  </si>
  <si>
    <t>Captures : hors ligne</t>
  </si>
  <si>
    <t>Captures : validation</t>
  </si>
  <si>
    <t>Captures : partage et export</t>
  </si>
  <si>
    <t>Captures : médias</t>
  </si>
  <si>
    <t>Captures : notifications et profil</t>
  </si>
  <si>
    <t>Plan du guide : liste des chapitres</t>
  </si>
  <si>
    <t>Plan du guide : structure d'un chapitre</t>
  </si>
  <si>
    <t>Chapitre 1 (se connecter et créer son mot de passe) : à quoi ça sert et étapes numérotées</t>
  </si>
  <si>
    <t>Chapitre 1 : captures et erreurs fréquentes</t>
  </si>
  <si>
    <t>Chapitre 2 (créer une recherche et un dataset) : à quoi ça sert et étapes numérotées</t>
  </si>
  <si>
    <t>Chapitre 2 : captures et erreurs fréquentes</t>
  </si>
  <si>
    <t>Chapitre 3 (saisir une donnée) : à quoi ça sert et étapes numérotées</t>
  </si>
  <si>
    <t>Chapitre 3 : captures et erreurs fréquentes</t>
  </si>
  <si>
    <t>Chapitre 4 (importer un fichier et lire le rapport d'erreurs) : à quoi ça sert et étapes numérotées</t>
  </si>
  <si>
    <t>Chapitre 4 : captures et erreurs fréquentes</t>
  </si>
  <si>
    <t>Chapitre 5 (créer un tableau personnalisé) : à quoi ça sert et étapes numérotées</t>
  </si>
  <si>
    <t>Chapitre 5 : captures et erreurs fréquentes</t>
  </si>
  <si>
    <t>Chapitre 6 (utiliser le mode hors ligne sur le terrain) : à quoi ça sert et étapes numérotées</t>
  </si>
  <si>
    <t>Chapitre 6 : captures et erreurs fréquentes</t>
  </si>
  <si>
    <t>Chapitre 7 (valider les données d'un agent de saisie) : à quoi ça sert et étapes numérotées</t>
  </si>
  <si>
    <t>Chapitre 7 : captures et erreurs fréquentes</t>
  </si>
  <si>
    <t>Chapitre 8 (partager une recherche et exporter des données) : à quoi ça sert et étapes numérotées</t>
  </si>
  <si>
    <t>Chapitre 8 : captures et erreurs fréquentes</t>
  </si>
  <si>
    <t>Chapitre 9 (questions fréquentes et problèmes courants) : à quoi ça sert et étapes numérotées</t>
  </si>
  <si>
    <t>Chapitre 9 : captures et erreurs fréquentes</t>
  </si>
  <si>
    <t>Choisir le testeur extérieur</t>
  </si>
  <si>
    <t>Le tester sans l'aider</t>
  </si>
  <si>
    <t>Noter les blocages</t>
  </si>
  <si>
    <t>Corriger les blocages du guide</t>
  </si>
  <si>
    <t>Corriger les captures et les textes</t>
  </si>
  <si>
    <t>Relire le guide</t>
  </si>
  <si>
    <t>Export en PDF et vérification</t>
  </si>
  <si>
    <t>Mémoire</t>
  </si>
  <si>
    <t>Gestion Memoire</t>
  </si>
  <si>
    <t>miseEnPlace</t>
  </si>
  <si>
    <t>Copier le modèle de l'école</t>
  </si>
  <si>
    <t>Titre provisoire</t>
  </si>
  <si>
    <t>Dossier de sauvegarde</t>
  </si>
  <si>
    <t>Liste des sources (format imposé)</t>
  </si>
  <si>
    <t>Styles et numérotation</t>
  </si>
  <si>
    <t>avantPropos</t>
  </si>
  <si>
    <t>Rechercher des informations sur The Peregrine Fund</t>
  </si>
  <si>
    <t>Présenter l'organisation</t>
  </si>
  <si>
    <t>Missions et activités</t>
  </si>
  <si>
    <t>Mon département d'accueil</t>
  </si>
  <si>
    <t>Relecture (1,5 page maximum)</t>
  </si>
  <si>
    <t>1.1</t>
  </si>
  <si>
    <t>Objectif général</t>
  </si>
  <si>
    <t>Objectifs spécifiques</t>
  </si>
  <si>
    <t>2.1.1</t>
  </si>
  <si>
    <t>Synthèse et conclusion</t>
  </si>
  <si>
    <t>1.3</t>
  </si>
  <si>
    <t>Recherche : frontend (Vue.js et alternatives)</t>
  </si>
  <si>
    <t>Recherche : backend (Spring Boot et alternatives)</t>
  </si>
  <si>
    <t>Recherche : base de données (PostgreSQL et alternatives)</t>
  </si>
  <si>
    <t>Recherche : stockage de fichiers (MinIO et alternatives)</t>
  </si>
  <si>
    <t>Recherche : ETL (Python, pandas et alternatives)</t>
  </si>
  <si>
    <t>Recherche : mode hors ligne (Service Worker, IndexedDB)</t>
  </si>
  <si>
    <t>Tableau : frontend et backend</t>
  </si>
  <si>
    <t>Tableau : base de données et stockage</t>
  </si>
  <si>
    <t>Tableau : ETL et hors ligne</t>
  </si>
  <si>
    <t>Rédiger frontend et backend avec mes mots</t>
  </si>
  <si>
    <t>Rédiger base de données et stockage</t>
  </si>
  <si>
    <t>Rédiger ETL et hors ligne, justifier mes choix</t>
  </si>
  <si>
    <t>2.1.2</t>
  </si>
  <si>
    <t>Pourquoi faire une conception</t>
  </si>
  <si>
    <t>Méthode et Darwin Core</t>
  </si>
  <si>
    <t>Légendes des figures</t>
  </si>
  <si>
    <t>Choisir les maquettes à montrer</t>
  </si>
  <si>
    <t>Décrire l'architecture</t>
  </si>
  <si>
    <t>Schéma de l'architecture</t>
  </si>
  <si>
    <t>Compter tables, classes, écrans et API</t>
  </si>
  <si>
    <t>2.2</t>
  </si>
  <si>
    <t>Module « Gestion des utilisateurs » : description des fonctionnalités</t>
  </si>
  <si>
    <t>Module « Gestion des utilisateurs » : pourquoi pour l'entreprise</t>
  </si>
  <si>
    <t>Module « Gestion des utilisateurs » : scénario clé 1</t>
  </si>
  <si>
    <t>Module « Gestion des utilisateurs » : scénario clé 2</t>
  </si>
  <si>
    <t>Module « Gestion des utilisateurs » : captures d'écran avec explication</t>
  </si>
  <si>
    <t>Module « Gestion des utilisateurs » : diagramme de séquence</t>
  </si>
  <si>
    <t>Module « Recherches, datasets et saisie » : description des fonctionnalités</t>
  </si>
  <si>
    <t>Module « Recherches, datasets et saisie » : pourquoi pour l'entreprise</t>
  </si>
  <si>
    <t>Module « Recherches, datasets et saisie » : scénario clé 1</t>
  </si>
  <si>
    <t>Module « Recherches, datasets et saisie » : scénario clé 2</t>
  </si>
  <si>
    <t>Module « Recherches, datasets et saisie » : captures d'écran avec explication</t>
  </si>
  <si>
    <t>Module « Recherches, datasets et saisie » : diagramme de séquence</t>
  </si>
  <si>
    <t>Module « Import (ETL) et export » : description des fonctionnalités</t>
  </si>
  <si>
    <t>Module « Import (ETL) et export » : pourquoi pour l'entreprise</t>
  </si>
  <si>
    <t>Module « Import (ETL) et export » : scénario clé 1</t>
  </si>
  <si>
    <t>Module « Import (ETL) et export » : scénario clé 2</t>
  </si>
  <si>
    <t>Module « Import (ETL) et export » : captures d'écran avec explication</t>
  </si>
  <si>
    <t>Module « Import (ETL) et export » : diagramme de séquence</t>
  </si>
  <si>
    <t>Module « Tableaux personnalisés, fiche taxon et partage » : description des fonctionnalités</t>
  </si>
  <si>
    <t>Module « Tableaux personnalisés, fiche taxon et partage » : pourquoi pour l'entreprise</t>
  </si>
  <si>
    <t>Module « Tableaux personnalisés, fiche taxon et partage » : scénario clé 1</t>
  </si>
  <si>
    <t>Module « Tableaux personnalisés, fiche taxon et partage » : scénario clé 2</t>
  </si>
  <si>
    <t>Module « Tableaux personnalisés, fiche taxon et partage » : captures d'écran avec explication</t>
  </si>
  <si>
    <t>Module « Tableaux personnalisés, fiche taxon et partage » : diagramme de séquence</t>
  </si>
  <si>
    <t>Module « Mode hors ligne » : description des fonctionnalités</t>
  </si>
  <si>
    <t>Module « Mode hors ligne » : pourquoi pour l'entreprise</t>
  </si>
  <si>
    <t>Module « Mode hors ligne » : scénario clé 1</t>
  </si>
  <si>
    <t>Module « Mode hors ligne » : scénario clé 2</t>
  </si>
  <si>
    <t>Module « Mode hors ligne » : captures d'écran avec explication</t>
  </si>
  <si>
    <t>Module « Mode hors ligne » : diagramme de séquence</t>
  </si>
  <si>
    <t>Module « Validation et médias » : description des fonctionnalités</t>
  </si>
  <si>
    <t>Module « Validation et médias » : pourquoi pour l'entreprise</t>
  </si>
  <si>
    <t>Module « Validation et médias » : scénario clé 1</t>
  </si>
  <si>
    <t>Module « Validation et médias » : scénario clé 2</t>
  </si>
  <si>
    <t>Module « Validation et médias » : captures d'écran avec explication</t>
  </si>
  <si>
    <t>Module « Validation et médias » : diagramme de séquence</t>
  </si>
  <si>
    <t>Module « Recherche et notifications » : description des fonctionnalités</t>
  </si>
  <si>
    <t>Module « Recherche et notifications » : pourquoi pour l'entreprise</t>
  </si>
  <si>
    <t>Module « Recherche et notifications » : scénario clé 1</t>
  </si>
  <si>
    <t>Module « Recherche et notifications » : scénario clé 2</t>
  </si>
  <si>
    <t>Module « Recherche et notifications » : captures d'écran avec explication</t>
  </si>
  <si>
    <t>Module « Recherche et notifications » : diagramme de séquence</t>
  </si>
  <si>
    <t>2.3</t>
  </si>
  <si>
    <t>Compter les enregistrements importés</t>
  </si>
  <si>
    <t>Mesurer le temps d'import</t>
  </si>
  <si>
    <t>Compter recherches, taxons et utilisateurs</t>
  </si>
  <si>
    <t>Reprendre les résultats du plan de test</t>
  </si>
  <si>
    <t>Tableau de chiffres datés</t>
  </si>
  <si>
    <t>Commentaires</t>
  </si>
  <si>
    <t>2.4</t>
  </si>
  <si>
    <t>Relire le carnet de bord</t>
  </si>
  <si>
    <t>Choisir 3 à 5 problèmes</t>
  </si>
  <si>
    <t>Problème 1 et sa solution</t>
  </si>
  <si>
    <t>Problème 2 et sa solution</t>
  </si>
  <si>
    <t>Problème 3 et sa solution</t>
  </si>
  <si>
    <t>Autres problèmes et relecture</t>
  </si>
  <si>
    <t>1.2</t>
  </si>
  <si>
    <t>Gantt : planning prévu</t>
  </si>
  <si>
    <t>Gantt : planning réalisé</t>
  </si>
  <si>
    <t>Commentaires du planning</t>
  </si>
  <si>
    <t>3.1</t>
  </si>
  <si>
    <t>Bilan entreprise : demander le retour de l'encadreur</t>
  </si>
  <si>
    <t>Bilan entreprise : atteinte des objectifs</t>
  </si>
  <si>
    <t>Bilan entreprise : apports pour l'entreprise</t>
  </si>
  <si>
    <t>Bilan entreprise : limites</t>
  </si>
  <si>
    <t>Bilan entreprise : relecture par l'encadreur</t>
  </si>
  <si>
    <t>Bilan entreprise : corrections</t>
  </si>
  <si>
    <t>3.3</t>
  </si>
  <si>
    <t>Perspectives techniques</t>
  </si>
  <si>
    <t>Perspectives fonctionnelles</t>
  </si>
  <si>
    <t>3.2</t>
  </si>
  <si>
    <t>Compétences acquises</t>
  </si>
  <si>
    <t>Difficultés surmontées</t>
  </si>
  <si>
    <t>conclusion</t>
  </si>
  <si>
    <t>Satisfaction de l'entreprise</t>
  </si>
  <si>
    <t>Impressions personnelles</t>
  </si>
  <si>
    <t>Perspectives et apport par rapport à l'existant</t>
  </si>
  <si>
    <t>introduction</t>
  </si>
  <si>
    <t>Thème et intérêt</t>
  </si>
  <si>
    <t>Existant, inconvénients et résultats essentiels</t>
  </si>
  <si>
    <t>Structure du mémoire</t>
  </si>
  <si>
    <t>glossaire</t>
  </si>
  <si>
    <t>Lister les termes</t>
  </si>
  <si>
    <t>Définitions par ordre alphabétique</t>
  </si>
  <si>
    <t>bibliographie</t>
  </si>
  <si>
    <t>Livres</t>
  </si>
  <si>
    <t>Références web (consultée le)</t>
  </si>
  <si>
    <t>Thèses et mémoires, mise en forme</t>
  </si>
  <si>
    <t>listes</t>
  </si>
  <si>
    <t>Liste des tableaux</t>
  </si>
  <si>
    <t>Liste des figures</t>
  </si>
  <si>
    <t>finitions</t>
  </si>
  <si>
    <t>Remerciements</t>
  </si>
  <si>
    <t>Page de titre</t>
  </si>
  <si>
    <t>Jury</t>
  </si>
  <si>
    <t>Table des matières</t>
  </si>
  <si>
    <t>relecture</t>
  </si>
  <si>
    <t>Envoyer à l'encadreur</t>
  </si>
  <si>
    <t>Envoyer au relecteur</t>
  </si>
  <si>
    <t>Corrections : avant-propos et introduction</t>
  </si>
  <si>
    <t>Corrections : chapitre 1</t>
  </si>
  <si>
    <t>Corrections : chapitre 2 (conception)</t>
  </si>
  <si>
    <t>Corrections : chapitre 2 (modules)</t>
  </si>
  <si>
    <t>Corrections : chapitre 3 et conclusion</t>
  </si>
  <si>
    <t>Corrections : bibliographie et annexes</t>
  </si>
  <si>
    <t>Correcteur d'orthographe</t>
  </si>
  <si>
    <t>Qualité et droits des images</t>
  </si>
  <si>
    <t>Mise en page finale</t>
  </si>
  <si>
    <t>Gestion de projet</t>
  </si>
  <si>
    <t>Gestion Suivi</t>
  </si>
  <si>
    <t>pointHebdo</t>
  </si>
  <si>
    <t>Point avec l'encadrant : semaine 1</t>
  </si>
  <si>
    <t>carnetDeBord</t>
  </si>
  <si>
    <t>Carnet de bord : semaine 1</t>
  </si>
  <si>
    <t>bilanSemaine</t>
  </si>
  <si>
    <t>Bilan de la semaine 1</t>
  </si>
  <si>
    <t>Point avec l'encadrant : semaine 2</t>
  </si>
  <si>
    <t>Carnet de bord : semaine 2</t>
  </si>
  <si>
    <t>Bilan de la semaine 2</t>
  </si>
  <si>
    <t>Point avec l'encadrant : semaine 3</t>
  </si>
  <si>
    <t>Carnet de bord : semaine 3</t>
  </si>
  <si>
    <t>Bilan de la semaine 3</t>
  </si>
  <si>
    <t>Point avec l'encadrant : semaine 4</t>
  </si>
  <si>
    <t>Carnet de bord : semaine 4</t>
  </si>
  <si>
    <t>Bilan de la semaine 4</t>
  </si>
  <si>
    <t>Point avec l'encadrant : semaine 5</t>
  </si>
  <si>
    <t>Carnet de bord : semaine 5</t>
  </si>
  <si>
    <t>Bilan de la semaine 5</t>
  </si>
  <si>
    <t>Point avec l'encadrant : semaine 6</t>
  </si>
  <si>
    <t>Carnet de bord : semaine 6</t>
  </si>
  <si>
    <t>Bilan de la semaine 6</t>
  </si>
  <si>
    <t>Point avec l'encadrant : semaine 7</t>
  </si>
  <si>
    <t>Carnet de bord : semaine 7</t>
  </si>
  <si>
    <t>Bilan de la semaine 7</t>
  </si>
  <si>
    <t>Point avec l'encadrant : semaine 8</t>
  </si>
  <si>
    <t>Carnet de bord : semaine 8</t>
  </si>
  <si>
    <t>Bilan de la semaine 8</t>
  </si>
  <si>
    <t>Point avec l'encadrant : semaine 9</t>
  </si>
  <si>
    <t>Carnet de bord : semaine 9</t>
  </si>
  <si>
    <t>Bilan de la semaine 9</t>
  </si>
  <si>
    <t>Point avec l'encadrant : semaine 10</t>
  </si>
  <si>
    <t>Carnet de bord : semaine 10</t>
  </si>
  <si>
    <t>Bilan de la semaine 10</t>
  </si>
  <si>
    <t>Point avec l'encadrant : semaine 11</t>
  </si>
  <si>
    <t>Carnet de bord : semaine 11</t>
  </si>
  <si>
    <t>Bilan de la semaine 11</t>
  </si>
  <si>
    <t>Point avec l'encadrant : semaine 12</t>
  </si>
  <si>
    <t>Carnet de bord : semaine 12</t>
  </si>
  <si>
    <t>Bilan de la semaine 12</t>
  </si>
  <si>
    <t>Point avec l'encadrant : semaine 13</t>
  </si>
  <si>
    <t>Carnet de bord : semaine 13</t>
  </si>
  <si>
    <t>Bilan de la semaine 13</t>
  </si>
  <si>
    <t/>
  </si>
  <si>
    <t>avant 14 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</si>
</sst>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 min&quot;"/>
    <numFmt numFmtId="165" formatCode="d/m"/>
  </numFmts>
  <fonts count="12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000000"/>
      <name val="Arial"/>
    </font>
    <font>
      <b/>
      <sz val="12"/>
      <color theme="1"/>
      <name val="Aptos Narrow"/>
    </font>
    <font>
      <sz val="10"/>
      <color rgb="FF000000"/>
      <name val="Arial"/>
    </font>
    <font>
      <b/>
      <sz val="11"/>
      <color rgb="FF000000"/>
      <name val="Times New Roman"/>
    </font>
    <font>
      <b/>
      <sz val="11"/>
      <color rgb="FFFFFFFF"/>
      <name val="Cambria"/>
    </font>
    <font>
      <sz val="12"/>
      <color theme="1"/>
      <name val="Aptos Narrow"/>
    </font>
    <font>
      <b/>
      <sz val="12"/>
      <color theme="1"/>
      <name val="Arial"/>
    </font>
    <font>
      <sz val="12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95DCF7"/>
        <bgColor rgb="FF95DCF7"/>
      </patternFill>
    </fill>
    <fill>
      <patternFill patternType="solid">
        <fgColor rgb="FFCC0000"/>
        <bgColor rgb="FFCC0000"/>
      </patternFill>
    </fill>
    <fill>
      <patternFill patternType="solid">
        <fgColor rgb="FFFFE599"/>
        <bgColor rgb="FFFFE599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/>
    <xf numFmtId="0" fontId="3" fillId="3" borderId="1" xfId="0" applyFont="1" applyFill="1" applyBorder="1" applyAlignment="1"/>
    <xf numFmtId="0" fontId="2" fillId="2" borderId="2" xfId="0" applyFont="1" applyFill="1" applyBorder="1" applyAlignment="1"/>
    <xf numFmtId="0" fontId="4" fillId="0" borderId="0" xfId="0" applyFont="1" applyAlignment="1"/>
    <xf numFmtId="0" fontId="5" fillId="2" borderId="2" xfId="0" applyFont="1" applyFill="1" applyBorder="1" applyAlignment="1"/>
    <xf numFmtId="0" fontId="6" fillId="4" borderId="1" xfId="0" applyFont="1" applyFill="1" applyBorder="1" applyAlignment="1">
      <alignment horizontal="center"/>
    </xf>
    <xf numFmtId="0" fontId="1" fillId="0" borderId="2" xfId="0" applyFont="1" applyBorder="1" applyAlignment="1"/>
    <xf numFmtId="0" fontId="7" fillId="0" borderId="0" xfId="0" applyFont="1" applyAlignment="1">
      <alignment horizontal="right"/>
    </xf>
    <xf numFmtId="0" fontId="1" fillId="0" borderId="2" xfId="0" applyFont="1" applyBorder="1" applyAlignment="1">
      <alignment horizontal="right"/>
    </xf>
    <xf numFmtId="1" fontId="7" fillId="0" borderId="0" xfId="0" applyNumberFormat="1" applyFont="1" applyAlignment="1">
      <alignment horizontal="right"/>
    </xf>
    <xf numFmtId="10" fontId="7" fillId="0" borderId="0" xfId="0" applyNumberFormat="1" applyFont="1" applyAlignment="1">
      <alignment horizontal="right"/>
    </xf>
    <xf numFmtId="9" fontId="1" fillId="0" borderId="2" xfId="0" applyNumberFormat="1" applyFont="1" applyBorder="1" applyAlignment="1">
      <alignment horizontal="right"/>
    </xf>
    <xf numFmtId="164" fontId="4" fillId="0" borderId="0" xfId="0" applyNumberFormat="1" applyFont="1" applyAlignment="1"/>
    <xf numFmtId="0" fontId="7" fillId="0" borderId="0" xfId="0" applyFont="1" applyAlignment="1"/>
    <xf numFmtId="0" fontId="8" fillId="3" borderId="1" xfId="0" applyFont="1" applyFill="1" applyBorder="1" applyAlignment="1"/>
    <xf numFmtId="0" fontId="8" fillId="0" borderId="0" xfId="0" applyFont="1" applyAlignment="1"/>
    <xf numFmtId="165" fontId="8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4" fillId="0" borderId="6" xfId="0" applyFont="1" applyBorder="1" applyAlignment="1">
      <alignment horizontal="left"/>
    </xf>
    <xf numFmtId="0" fontId="4" fillId="0" borderId="3" xfId="0" applyFont="1" applyBorder="1" applyAlignment="1"/>
    <xf numFmtId="0" fontId="4" fillId="0" borderId="4" xfId="0" applyFont="1" applyBorder="1" applyAlignment="1"/>
    <xf numFmtId="0" fontId="4" fillId="0" borderId="5" xfId="0" applyFont="1" applyBorder="1" applyAlignment="1"/>
    <xf numFmtId="0" fontId="10" fillId="0" borderId="7" xfId="0" applyFont="1" applyBorder="1" applyAlignment="1">
      <alignment horizontal="left"/>
    </xf>
    <xf numFmtId="0" fontId="10" fillId="0" borderId="8" xfId="0" applyFont="1" applyBorder="1" applyAlignment="1"/>
    <xf numFmtId="0" fontId="10" fillId="0" borderId="9" xfId="0" applyFont="1" applyBorder="1" applyAlignment="1"/>
    <xf numFmtId="0" fontId="10" fillId="0" borderId="10" xfId="0" applyFont="1" applyBorder="1" applyAlignment="1"/>
    <xf numFmtId="0" fontId="11" fillId="5" borderId="1" xfId="0" applyFont="1" applyFill="1" applyBorder="1" applyAlignment="1"/>
    <xf numFmtId="10" fontId="11" fillId="5" borderId="1" xfId="0" applyNumberFormat="1" applyFont="1" applyFill="1" applyBorder="1" applyAlignment="1"/>
    <xf numFmtId="0" fontId="0" fillId="0" borderId="11" xfId="0" applyFont="1" applyBorder="1" applyAlignment="1"/>
    <xf numFmtId="0" fontId="0" fillId="0" borderId="11" xfId="0" pivotButton="1" applyFont="1" applyBorder="1" applyAlignment="1"/>
    <xf numFmtId="0" fontId="0" fillId="0" borderId="12" xfId="0" applyFont="1" applyBorder="1" applyAlignment="1"/>
    <xf numFmtId="0" fontId="0" fillId="0" borderId="13" xfId="0" applyFont="1" applyBorder="1" applyAlignment="1"/>
    <xf numFmtId="0" fontId="0" fillId="0" borderId="14" xfId="0" applyFont="1" applyBorder="1" applyAlignment="1"/>
    <xf numFmtId="0" fontId="0" fillId="0" borderId="15" xfId="0" applyFont="1" applyBorder="1" applyAlignment="1"/>
    <xf numFmtId="0" fontId="0" fillId="0" borderId="16" xfId="0" applyFont="1" applyBorder="1" applyAlignment="1"/>
    <xf numFmtId="0" fontId="0" fillId="0" borderId="16" xfId="0" applyNumberFormat="1" applyFont="1" applyBorder="1" applyAlignment="1"/>
    <xf numFmtId="0" fontId="0" fillId="0" borderId="17" xfId="0" applyNumberFormat="1" applyFont="1" applyBorder="1" applyAlignment="1"/>
    <xf numFmtId="0" fontId="0" fillId="0" borderId="18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ricka Harimalala" refreshedDate="46310.527273842592" refreshedVersion="7" recordCount="922" xr:uid="{00000000-000A-0000-FFFF-FFFF00000000}">
  <cacheSource type="worksheet">
    <worksheetSource ref="B1:K923" sheet="liste des taches"/>
  </cacheSource>
  <cacheFields count="10">
    <cacheField name="Catégorie" numFmtId="0">
      <sharedItems/>
    </cacheField>
    <cacheField name="Module" numFmtId="0">
      <sharedItems/>
    </cacheField>
    <cacheField name="Page" numFmtId="0">
      <sharedItems/>
    </cacheField>
    <cacheField name="Description tâche" numFmtId="0">
      <sharedItems/>
    </cacheField>
    <cacheField name="Type" numFmtId="0">
      <sharedItems/>
    </cacheField>
    <cacheField name="Qui" numFmtId="0">
      <sharedItems count="1">
        <s v="ETU003350"/>
      </sharedItems>
    </cacheField>
    <cacheField name="Estimation" numFmtId="0">
      <sharedItems containsSemiMixedTypes="0" containsString="0" containsNumber="1" containsInteger="1" minValue="15" maxValue="60"/>
    </cacheField>
    <cacheField name="Temps passé" numFmtId="0">
      <sharedItems containsSemiMixedTypes="0" containsString="0" containsNumber="1" containsInteger="1" minValue="0" maxValue="0"/>
    </cacheField>
    <cacheField name="Reste à faire" numFmtId="0">
      <sharedItems containsSemiMixedTypes="0" containsString="0" containsNumber="1" containsInteger="1" minValue="15" maxValue="60"/>
    </cacheField>
    <cacheField name="Avancement" numFmtId="9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2">
  <r>
    <s v="Analyse et conception"/>
    <s v="Gestion Cahier des charges"/>
    <s v="cahierDesCharges"/>
    <s v="Contexte"/>
    <s v="Redaction"/>
    <x v="0"/>
    <n v="45"/>
    <n v="0"/>
    <n v="45"/>
    <n v="0"/>
  </r>
  <r>
    <s v="Analyse et conception"/>
    <s v="Gestion Cahier des charges"/>
    <s v="cahierDesCharges"/>
    <s v="Problématique"/>
    <s v="Redaction"/>
    <x v="0"/>
    <n v="30"/>
    <n v="0"/>
    <n v="30"/>
    <n v="0"/>
  </r>
  <r>
    <s v="Analyse et conception"/>
    <s v="Gestion Cahier des charges"/>
    <s v="cahierDesCharges"/>
    <s v="Objectifs général et spécifiques"/>
    <s v="Redaction"/>
    <x v="0"/>
    <n v="45"/>
    <n v="0"/>
    <n v="45"/>
    <n v="0"/>
  </r>
  <r>
    <s v="Analyse et conception"/>
    <s v="Gestion Cahier des charges"/>
    <s v="cahierDesCharges"/>
    <s v="Périmètre (inclus et exclu)"/>
    <s v="Redaction"/>
    <x v="0"/>
    <n v="30"/>
    <n v="0"/>
    <n v="30"/>
    <n v="0"/>
  </r>
  <r>
    <s v="Analyse et conception"/>
    <s v="Gestion Cahier des charges"/>
    <s v="cahierDesCharges"/>
    <s v="Parties prenantes et acteurs"/>
    <s v="Redaction"/>
    <x v="0"/>
    <n v="45"/>
    <n v="0"/>
    <n v="45"/>
    <n v="0"/>
  </r>
  <r>
    <s v="Analyse et conception"/>
    <s v="Gestion Cahier des charges"/>
    <s v="cahierDesCharges"/>
    <s v="Situation actuelle des données"/>
    <s v="Redaction"/>
    <x v="0"/>
    <n v="45"/>
    <n v="0"/>
    <n v="45"/>
    <n v="0"/>
  </r>
  <r>
    <s v="Analyse et conception"/>
    <s v="Gestion Cahier des charges"/>
    <s v="cahierDesCharges"/>
    <s v="Limites constatées"/>
    <s v="Redaction"/>
    <x v="0"/>
    <n v="30"/>
    <n v="0"/>
    <n v="30"/>
    <n v="0"/>
  </r>
  <r>
    <s v="Analyse et conception"/>
    <s v="Gestion Cahier des charges"/>
    <s v="cahierDesCharges"/>
    <s v="Benchmark : GBIF"/>
    <s v="Redaction"/>
    <x v="0"/>
    <n v="30"/>
    <n v="0"/>
    <n v="30"/>
    <n v="0"/>
  </r>
  <r>
    <s v="Analyse et conception"/>
    <s v="Gestion Cahier des charges"/>
    <s v="cahierDesCharges"/>
    <s v="Benchmark : Specify"/>
    <s v="Redaction"/>
    <x v="0"/>
    <n v="30"/>
    <n v="0"/>
    <n v="30"/>
    <n v="0"/>
  </r>
  <r>
    <s v="Analyse et conception"/>
    <s v="Gestion Cahier des charges"/>
    <s v="cahierDesCharges"/>
    <s v="Benchmark : KoboToolbox"/>
    <s v="Redaction"/>
    <x v="0"/>
    <n v="30"/>
    <n v="0"/>
    <n v="30"/>
    <n v="0"/>
  </r>
  <r>
    <s v="Analyse et conception"/>
    <s v="Gestion Cahier des charges"/>
    <s v="cahierDesCharges"/>
    <s v="Besoins fonctionnels BF-01 à BF-06"/>
    <s v="Redaction"/>
    <x v="0"/>
    <n v="60"/>
    <n v="0"/>
    <n v="60"/>
    <n v="0"/>
  </r>
  <r>
    <s v="Analyse et conception"/>
    <s v="Gestion Cahier des charges"/>
    <s v="cahierDesCharges"/>
    <s v="Besoins fonctionnels BF-07 à BF-12"/>
    <s v="Redaction"/>
    <x v="0"/>
    <n v="60"/>
    <n v="0"/>
    <n v="60"/>
    <n v="0"/>
  </r>
  <r>
    <s v="Analyse et conception"/>
    <s v="Gestion Cahier des charges"/>
    <s v="cahierDesCharges"/>
    <s v="Besoins fonctionnels BF-13 à BF-17"/>
    <s v="Redaction"/>
    <x v="0"/>
    <n v="45"/>
    <n v="0"/>
    <n v="45"/>
    <n v="0"/>
  </r>
  <r>
    <s v="Analyse et conception"/>
    <s v="Gestion Cahier des charges"/>
    <s v="cahierDesCharges"/>
    <s v="Priorités MoSCoW"/>
    <s v="Redaction"/>
    <x v="0"/>
    <n v="30"/>
    <n v="0"/>
    <n v="30"/>
    <n v="0"/>
  </r>
  <r>
    <s v="Analyse et conception"/>
    <s v="Gestion Cahier des charges"/>
    <s v="cahierDesCharges"/>
    <s v="Règles de gestion RG-01 à RG-06"/>
    <s v="Redaction"/>
    <x v="0"/>
    <n v="45"/>
    <n v="0"/>
    <n v="45"/>
    <n v="0"/>
  </r>
  <r>
    <s v="Analyse et conception"/>
    <s v="Gestion Cahier des charges"/>
    <s v="cahierDesCharges"/>
    <s v="Besoins non fonctionnels"/>
    <s v="Redaction"/>
    <x v="0"/>
    <n v="45"/>
    <n v="0"/>
    <n v="45"/>
    <n v="0"/>
  </r>
  <r>
    <s v="Analyse et conception"/>
    <s v="Gestion Cahier des charges"/>
    <s v="cahierDesCharges"/>
    <s v="Contraintes techniques et réglementaires"/>
    <s v="Redaction"/>
    <x v="0"/>
    <n v="30"/>
    <n v="0"/>
    <n v="30"/>
    <n v="0"/>
  </r>
  <r>
    <s v="Analyse et conception"/>
    <s v="Gestion Cahier des charges"/>
    <s v="cahierDesCharges"/>
    <s v="Architecture et choix technologiques"/>
    <s v="Redaction"/>
    <x v="0"/>
    <n v="45"/>
    <n v="0"/>
    <n v="45"/>
    <n v="0"/>
  </r>
  <r>
    <s v="Analyse et conception"/>
    <s v="Gestion Cahier des charges"/>
    <s v="cahierDesCharges"/>
    <s v="Tableau des technologies"/>
    <s v="Redaction"/>
    <x v="0"/>
    <n v="45"/>
    <n v="0"/>
    <n v="45"/>
    <n v="0"/>
  </r>
  <r>
    <s v="Analyse et conception"/>
    <s v="Gestion Cahier des charges"/>
    <s v="cahierDesCharges"/>
    <s v="Page de garde et historique des révisions"/>
    <s v="Redaction"/>
    <x v="0"/>
    <n v="30"/>
    <n v="0"/>
    <n v="30"/>
    <n v="0"/>
  </r>
  <r>
    <s v="Analyse et conception"/>
    <s v="Gestion Cahier des charges"/>
    <s v="cahierDesCharges"/>
    <s v="Mise en forme (styles, tableaux)"/>
    <s v="Redaction"/>
    <x v="0"/>
    <n v="30"/>
    <n v="0"/>
    <n v="30"/>
    <n v="0"/>
  </r>
  <r>
    <s v="Analyse et conception"/>
    <s v="Gestion Cahier des charges"/>
    <s v="cahierDesCharges"/>
    <s v="Table des matières et numérotation"/>
    <s v="Redaction"/>
    <x v="0"/>
    <n v="30"/>
    <n v="0"/>
    <n v="30"/>
    <n v="0"/>
  </r>
  <r>
    <s v="Analyse et conception"/>
    <s v="Gestion Cahier des charges"/>
    <s v="cahierDesCharges"/>
    <s v="Relecture et corrections"/>
    <s v="Redaction"/>
    <x v="0"/>
    <n v="45"/>
    <n v="0"/>
    <n v="45"/>
    <n v="0"/>
  </r>
  <r>
    <s v="Analyse et conception"/>
    <s v="Gestion Cahier des charges"/>
    <s v="cahierCondense"/>
    <s v="Relire la version longue et repérer ce qui n'a pas sa place"/>
    <s v="Redaction"/>
    <x v="0"/>
    <n v="45"/>
    <n v="0"/>
    <n v="45"/>
    <n v="0"/>
  </r>
  <r>
    <s v="Analyse et conception"/>
    <s v="Gestion Cahier des charges"/>
    <s v="cahierCondense"/>
    <s v="Retirer la modélisation et les maquettes"/>
    <s v="Redaction"/>
    <x v="0"/>
    <n v="30"/>
    <n v="0"/>
    <n v="30"/>
    <n v="0"/>
  </r>
  <r>
    <s v="Analyse et conception"/>
    <s v="Gestion Cahier des charges"/>
    <s v="cahierCondense"/>
    <s v="Fusionner parties prenantes et acteurs"/>
    <s v="Redaction"/>
    <x v="0"/>
    <n v="30"/>
    <n v="0"/>
    <n v="30"/>
    <n v="0"/>
  </r>
  <r>
    <s v="Analyse et conception"/>
    <s v="Gestion Cahier des charges"/>
    <s v="cahierCondense"/>
    <s v="Condenser le benchmark"/>
    <s v="Redaction"/>
    <x v="0"/>
    <n v="30"/>
    <n v="0"/>
    <n v="30"/>
    <n v="0"/>
  </r>
  <r>
    <s v="Analyse et conception"/>
    <s v="Gestion Cahier des charges"/>
    <s v="cahierCondense"/>
    <s v="Raccourcir les besoins non fonctionnels"/>
    <s v="Redaction"/>
    <x v="0"/>
    <n v="30"/>
    <n v="0"/>
    <n v="30"/>
    <n v="0"/>
  </r>
  <r>
    <s v="Analyse et conception"/>
    <s v="Gestion Cahier des charges"/>
    <s v="cahierCondense"/>
    <s v="Corriger les accents et les fautes"/>
    <s v="Redaction"/>
    <x v="0"/>
    <n v="45"/>
    <n v="0"/>
    <n v="45"/>
    <n v="0"/>
  </r>
  <r>
    <s v="Analyse et conception"/>
    <s v="Gestion Cahier des charges"/>
    <s v="cahierCondense"/>
    <s v="Vérifier la limite de 6 à 7 pages"/>
    <s v="Redaction"/>
    <x v="0"/>
    <n v="30"/>
    <n v="0"/>
    <n v="30"/>
    <n v="0"/>
  </r>
  <r>
    <s v="Analyse et conception"/>
    <s v="Gestion Cahier des charges"/>
    <s v="cahierValidation"/>
    <s v="Envoyer le cahier des charges à l'encadrant"/>
    <s v="Gestion"/>
    <x v="0"/>
    <n v="15"/>
    <n v="0"/>
    <n v="15"/>
    <n v="0"/>
  </r>
  <r>
    <s v="Analyse et conception"/>
    <s v="Gestion Cahier des charges"/>
    <s v="cahierValidation"/>
    <s v="Intégrer ses remarques"/>
    <s v="Gestion"/>
    <x v="0"/>
    <n v="30"/>
    <n v="0"/>
    <n v="30"/>
    <n v="0"/>
  </r>
  <r>
    <s v="Analyse et conception"/>
    <s v="Gestion Cahier des charges"/>
    <s v="cahierValidation"/>
    <s v="Obtenir la validation écrite (e-mail)"/>
    <s v="Gestion"/>
    <x v="0"/>
    <n v="15"/>
    <n v="0"/>
    <n v="15"/>
    <n v="0"/>
  </r>
  <r>
    <s v="Analyse et conception"/>
    <s v="Gestion Base de donnees"/>
    <s v="schemaBD"/>
    <s v="Lister les entités à partir de Darwin Core"/>
    <s v="Conception"/>
    <x v="0"/>
    <n v="45"/>
    <n v="0"/>
    <n v="45"/>
    <n v="0"/>
  </r>
  <r>
    <s v="Analyse et conception"/>
    <s v="Gestion Base de donnees"/>
    <s v="schemaBD"/>
    <s v="Choisir les tables à garder"/>
    <s v="Conception"/>
    <x v="0"/>
    <n v="30"/>
    <n v="0"/>
    <n v="30"/>
    <n v="0"/>
  </r>
  <r>
    <s v="Analyse et conception"/>
    <s v="Gestion Base de donnees"/>
    <s v="schemaBD"/>
    <s v="Tables utilisateurs et agents (Utilisateur, Agent, Agent_User)"/>
    <s v="Conception"/>
    <x v="0"/>
    <n v="30"/>
    <n v="0"/>
    <n v="30"/>
    <n v="0"/>
  </r>
  <r>
    <s v="Analyse et conception"/>
    <s v="Gestion Base de donnees"/>
    <s v="schemaBD"/>
    <s v="Tables recherches (recherche, Media_recherche, Agent_Recherche, Dataset)"/>
    <s v="Conception"/>
    <x v="0"/>
    <n v="45"/>
    <n v="0"/>
    <n v="45"/>
    <n v="0"/>
  </r>
  <r>
    <s v="Analyse et conception"/>
    <s v="Gestion Base de donnees"/>
    <s v="schemaBD"/>
    <s v="Tables de localisation (Pays, Province, Location)"/>
    <s v="Conception"/>
    <x v="0"/>
    <n v="30"/>
    <n v="0"/>
    <n v="30"/>
    <n v="0"/>
  </r>
  <r>
    <s v="Analyse et conception"/>
    <s v="Gestion Base de donnees"/>
    <s v="schemaBD"/>
    <s v="Tables événements et protocoles (Event, Protocol, protocolType, event_reference)"/>
    <s v="Conception"/>
    <x v="0"/>
    <n v="45"/>
    <n v="0"/>
    <n v="45"/>
    <n v="0"/>
  </r>
  <r>
    <s v="Analyse et conception"/>
    <s v="Gestion Base de donnees"/>
    <s v="schemaBD"/>
    <s v="Tables occurrences (Occurrence, Organism, geological_context, Media, Occurrence_Agent)"/>
    <s v="Conception"/>
    <x v="0"/>
    <n v="60"/>
    <n v="0"/>
    <n v="60"/>
    <n v="0"/>
  </r>
  <r>
    <s v="Analyse et conception"/>
    <s v="Gestion Base de donnees"/>
    <s v="schemaBD"/>
    <s v="Tables d'interactions (organism_interaction, organismInteractionType)"/>
    <s v="Conception"/>
    <x v="0"/>
    <n v="30"/>
    <n v="0"/>
    <n v="30"/>
    <n v="0"/>
  </r>
  <r>
    <s v="Analyse et conception"/>
    <s v="Gestion Base de donnees"/>
    <s v="schemaBD"/>
    <s v="Tables taxonomie et identification (Taxon, taxonRank, identification, identification_reference)"/>
    <s v="Conception"/>
    <x v="0"/>
    <n v="45"/>
    <n v="0"/>
    <n v="45"/>
    <n v="0"/>
  </r>
  <r>
    <s v="Analyse et conception"/>
    <s v="Gestion Base de donnees"/>
    <s v="schemaBD"/>
    <s v="Tables de mesures (measurement_or_fact, types, unités)"/>
    <s v="Conception"/>
    <x v="0"/>
    <n v="45"/>
    <n v="0"/>
    <n v="45"/>
    <n v="0"/>
  </r>
  <r>
    <s v="Analyse et conception"/>
    <s v="Gestion Base de donnees"/>
    <s v="schemaBD"/>
    <s v="Tables génétiques (NucleotideSequence, NucleotideAnalysis, MolecularProtocol)"/>
    <s v="Conception"/>
    <x v="0"/>
    <n v="45"/>
    <n v="0"/>
    <n v="45"/>
    <n v="0"/>
  </r>
  <r>
    <s v="Analyse et conception"/>
    <s v="Gestion Base de donnees"/>
    <s v="schemaBD"/>
    <s v="Tables matériel (MaterialEntity, types, catégories, occurrence_material_entity)"/>
    <s v="Conception"/>
    <x v="0"/>
    <n v="45"/>
    <n v="0"/>
    <n v="45"/>
    <n v="0"/>
  </r>
  <r>
    <s v="Analyse et conception"/>
    <s v="Gestion Base de donnees"/>
    <s v="schemaBD"/>
    <s v="Table bibliographic_resource"/>
    <s v="Conception"/>
    <x v="0"/>
    <n v="15"/>
    <n v="0"/>
    <n v="15"/>
    <n v="0"/>
  </r>
  <r>
    <s v="Analyse et conception"/>
    <s v="Gestion Base de donnees"/>
    <s v="schemaBD"/>
    <s v="Tables des tableaux personnalisés (Attribut, tableau_personnalise, ligne, valeur)"/>
    <s v="Conception"/>
    <x v="0"/>
    <n v="60"/>
    <n v="0"/>
    <n v="60"/>
    <n v="0"/>
  </r>
  <r>
    <s v="Analyse et conception"/>
    <s v="Gestion Base de donnees"/>
    <s v="schemaBD"/>
    <s v="Table notification"/>
    <s v="Conception"/>
    <x v="0"/>
    <n v="15"/>
    <n v="0"/>
    <n v="15"/>
    <n v="0"/>
  </r>
  <r>
    <s v="Analyse et conception"/>
    <s v="Gestion Base de donnees"/>
    <s v="schemaBD"/>
    <s v="Clés primaires"/>
    <s v="Conception"/>
    <x v="0"/>
    <n v="30"/>
    <n v="0"/>
    <n v="30"/>
    <n v="0"/>
  </r>
  <r>
    <s v="Analyse et conception"/>
    <s v="Gestion Base de donnees"/>
    <s v="schemaBD"/>
    <s v="Clés étrangères et relations"/>
    <s v="Conception"/>
    <x v="0"/>
    <n v="60"/>
    <n v="0"/>
    <n v="60"/>
    <n v="0"/>
  </r>
  <r>
    <s v="Analyse et conception"/>
    <s v="Gestion Base de donnees"/>
    <s v="schemaBD"/>
    <s v="Types de données et contraintes (NOT NULL, UNIQUE)"/>
    <s v="Conception"/>
    <x v="0"/>
    <n v="45"/>
    <n v="0"/>
    <n v="45"/>
    <n v="0"/>
  </r>
  <r>
    <s v="Analyse et conception"/>
    <s v="Gestion Base de donnees"/>
    <s v="schemaBD"/>
    <s v="Vérifier la cardinalité de chaque relation"/>
    <s v="Conception"/>
    <x v="0"/>
    <n v="45"/>
    <n v="0"/>
    <n v="45"/>
    <n v="0"/>
  </r>
  <r>
    <s v="Analyse et conception"/>
    <s v="Gestion Base de donnees"/>
    <s v="schemaBD"/>
    <s v="Relation auto-référencée de measurement_or_fact"/>
    <s v="Conception"/>
    <x v="0"/>
    <n v="30"/>
    <n v="0"/>
    <n v="30"/>
    <n v="0"/>
  </r>
  <r>
    <s v="Analyse et conception"/>
    <s v="Gestion Base de donnees"/>
    <s v="schemaBD"/>
    <s v="Exporter le diagramme depuis Looping"/>
    <s v="Conception"/>
    <x v="0"/>
    <n v="30"/>
    <n v="0"/>
    <n v="30"/>
    <n v="0"/>
  </r>
  <r>
    <s v="Analyse et conception"/>
    <s v="Gestion Base de donnees"/>
    <s v="schemaBD"/>
    <s v="Relire le schéma avec Darwin Core"/>
    <s v="Conception"/>
    <x v="0"/>
    <n v="45"/>
    <n v="0"/>
    <n v="45"/>
    <n v="0"/>
  </r>
  <r>
    <s v="Analyse et conception"/>
    <s v="Gestion Base de donnees"/>
    <s v="schemaBD"/>
    <s v="Réviser les noms de tables et de colonnes"/>
    <s v="Conception"/>
    <x v="0"/>
    <n v="30"/>
    <n v="0"/>
    <n v="30"/>
    <n v="0"/>
  </r>
  <r>
    <s v="Analyse et conception"/>
    <s v="Gestion Base de donnees"/>
    <s v="schemaBD"/>
    <s v="Valider le modèle avec l'encadrant"/>
    <s v="Conception"/>
    <x v="0"/>
    <n v="30"/>
    <n v="0"/>
    <n v="30"/>
    <n v="0"/>
  </r>
  <r>
    <s v="Analyse et conception"/>
    <s v="Gestion Base de donnees"/>
    <s v="schemaBD"/>
    <s v="Décider que les attributs sont globaux"/>
    <s v="Conception"/>
    <x v="0"/>
    <n v="30"/>
    <n v="0"/>
    <n v="30"/>
    <n v="0"/>
  </r>
  <r>
    <s v="Analyse et conception"/>
    <s v="Gestion Base de donnees"/>
    <s v="schemaBD"/>
    <s v="Choisir le stockage des valeurs par type"/>
    <s v="Conception"/>
    <x v="0"/>
    <n v="30"/>
    <n v="0"/>
    <n v="30"/>
    <n v="0"/>
  </r>
  <r>
    <s v="Analyse et conception"/>
    <s v="Gestion Base de donnees"/>
    <s v="schemaBD"/>
    <s v="Choisir la gestion des rôles"/>
    <s v="Conception"/>
    <x v="0"/>
    <n v="30"/>
    <n v="0"/>
    <n v="30"/>
    <n v="0"/>
  </r>
  <r>
    <s v="Analyse et conception"/>
    <s v="Gestion Base de donnees"/>
    <s v="schemaBD"/>
    <s v="Prévoir les statuts de validation"/>
    <s v="Conception"/>
    <x v="0"/>
    <n v="30"/>
    <n v="0"/>
    <n v="30"/>
    <n v="0"/>
  </r>
  <r>
    <s v="Analyse et conception"/>
    <s v="Gestion Base de donnees"/>
    <s v="schemaBD"/>
    <s v="Prévoir la confidentialité des recherches"/>
    <s v="Conception"/>
    <x v="0"/>
    <n v="30"/>
    <n v="0"/>
    <n v="30"/>
    <n v="0"/>
  </r>
  <r>
    <s v="Analyse et conception"/>
    <s v="Gestion Base de donnees"/>
    <s v="schemaBD"/>
    <s v="Revoir le modèle après les maquettes"/>
    <s v="Conception"/>
    <x v="0"/>
    <n v="60"/>
    <n v="0"/>
    <n v="60"/>
    <n v="0"/>
  </r>
  <r>
    <s v="Analyse et conception"/>
    <s v="Gestion Base de donnees"/>
    <s v="schemaBD"/>
    <s v="Dictionnaire de données (description des tables)"/>
    <s v="Conception"/>
    <x v="0"/>
    <n v="60"/>
    <n v="0"/>
    <n v="60"/>
    <n v="0"/>
  </r>
  <r>
    <s v="Analyse et conception"/>
    <s v="Gestion Base de donnees"/>
    <s v="scriptSQL"/>
    <s v="Générer le script depuis Looping"/>
    <s v="Conception"/>
    <x v="0"/>
    <n v="30"/>
    <n v="0"/>
    <n v="30"/>
    <n v="0"/>
  </r>
  <r>
    <s v="Analyse et conception"/>
    <s v="Gestion Base de donnees"/>
    <s v="scriptSQL"/>
    <s v="Ordonner les créations selon les clés étrangères"/>
    <s v="Conception"/>
    <x v="0"/>
    <n v="30"/>
    <n v="0"/>
    <n v="30"/>
    <n v="0"/>
  </r>
  <r>
    <s v="Analyse et conception"/>
    <s v="Gestion Base de donnees"/>
    <s v="scriptSQL"/>
    <s v="Ajouter les index"/>
    <s v="Conception"/>
    <x v="0"/>
    <n v="30"/>
    <n v="0"/>
    <n v="30"/>
    <n v="0"/>
  </r>
  <r>
    <s v="Analyse et conception"/>
    <s v="Gestion Base de donnees"/>
    <s v="scriptSQL"/>
    <s v="Relire le script"/>
    <s v="Conception"/>
    <x v="0"/>
    <n v="30"/>
    <n v="0"/>
    <n v="30"/>
    <n v="0"/>
  </r>
  <r>
    <s v="Analyse et conception"/>
    <s v="Gestion Base de donnees"/>
    <s v="scriptTest"/>
    <s v="Créer une base vide"/>
    <s v="Test"/>
    <x v="0"/>
    <n v="15"/>
    <n v="0"/>
    <n v="15"/>
    <n v="0"/>
  </r>
  <r>
    <s v="Analyse et conception"/>
    <s v="Gestion Base de donnees"/>
    <s v="scriptTest"/>
    <s v="Exécuter le script"/>
    <s v="Test"/>
    <x v="0"/>
    <n v="15"/>
    <n v="0"/>
    <n v="15"/>
    <n v="0"/>
  </r>
  <r>
    <s v="Analyse et conception"/>
    <s v="Gestion Base de donnees"/>
    <s v="scriptTest"/>
    <s v="Corriger les erreurs"/>
    <s v="Test"/>
    <x v="0"/>
    <n v="30"/>
    <n v="0"/>
    <n v="30"/>
    <n v="0"/>
  </r>
  <r>
    <s v="Analyse et conception"/>
    <s v="Gestion Base de donnees"/>
    <s v="scriptTest"/>
    <s v="Insérer des lignes de test dans chaque module"/>
    <s v="Test"/>
    <x v="0"/>
    <n v="30"/>
    <n v="0"/>
    <n v="30"/>
    <n v="0"/>
  </r>
  <r>
    <s v="Analyse et conception"/>
    <s v="Gestion Base de donnees"/>
    <s v="scriptTest"/>
    <s v="Vérifier les clés étrangères"/>
    <s v="Test"/>
    <x v="0"/>
    <n v="15"/>
    <n v="0"/>
    <n v="15"/>
    <n v="0"/>
  </r>
  <r>
    <s v="Analyse et conception"/>
    <s v="Gestion Base de donnees"/>
    <s v="scriptTest"/>
    <s v="Sauvegarder le script final"/>
    <s v="Test"/>
    <x v="0"/>
    <n v="15"/>
    <n v="0"/>
    <n v="15"/>
    <n v="0"/>
  </r>
  <r>
    <s v="Analyse et conception"/>
    <s v="Gestion Maquettes"/>
    <s v="maquettes"/>
    <s v="Choisir le template Bootstrap"/>
    <s v="Conception"/>
    <x v="0"/>
    <n v="30"/>
    <n v="0"/>
    <n v="30"/>
    <n v="0"/>
  </r>
  <r>
    <s v="Analyse et conception"/>
    <s v="Gestion Maquettes"/>
    <s v="maquettes"/>
    <s v="Thème « Forêt », mode sombre et FR/EN"/>
    <s v="Conception"/>
    <x v="0"/>
    <n v="60"/>
    <n v="0"/>
    <n v="60"/>
    <n v="0"/>
  </r>
  <r>
    <s v="Analyse et conception"/>
    <s v="Gestion Maquettes"/>
    <s v="maquettes"/>
    <s v="Menu latéral"/>
    <s v="Conception"/>
    <x v="0"/>
    <n v="45"/>
    <n v="0"/>
    <n v="45"/>
    <n v="0"/>
  </r>
  <r>
    <s v="Analyse et conception"/>
    <s v="Gestion Maquettes"/>
    <s v="maquettes"/>
    <s v="Page de connexion"/>
    <s v="Conception"/>
    <x v="0"/>
    <n v="30"/>
    <n v="0"/>
    <n v="30"/>
    <n v="0"/>
  </r>
  <r>
    <s v="Analyse et conception"/>
    <s v="Gestion Maquettes"/>
    <s v="maquettes"/>
    <s v="Page de mot de passe"/>
    <s v="Conception"/>
    <x v="0"/>
    <n v="30"/>
    <n v="0"/>
    <n v="30"/>
    <n v="0"/>
  </r>
  <r>
    <s v="Analyse et conception"/>
    <s v="Gestion Maquettes"/>
    <s v="maquettes"/>
    <s v="Tableau de bord"/>
    <s v="Conception"/>
    <x v="0"/>
    <n v="45"/>
    <n v="0"/>
    <n v="45"/>
    <n v="0"/>
  </r>
  <r>
    <s v="Analyse et conception"/>
    <s v="Gestion Maquettes"/>
    <s v="maquettes"/>
    <s v="Liste des recherches"/>
    <s v="Conception"/>
    <x v="0"/>
    <n v="45"/>
    <n v="0"/>
    <n v="45"/>
    <n v="0"/>
  </r>
  <r>
    <s v="Analyse et conception"/>
    <s v="Gestion Maquettes"/>
    <s v="maquettes"/>
    <s v="Détail d'une recherche"/>
    <s v="Conception"/>
    <x v="0"/>
    <n v="45"/>
    <n v="0"/>
    <n v="45"/>
    <n v="0"/>
  </r>
  <r>
    <s v="Analyse et conception"/>
    <s v="Gestion Maquettes"/>
    <s v="maquettes"/>
    <s v="Formulaire de recherche"/>
    <s v="Conception"/>
    <x v="0"/>
    <n v="30"/>
    <n v="0"/>
    <n v="30"/>
    <n v="0"/>
  </r>
  <r>
    <s v="Analyse et conception"/>
    <s v="Gestion Maquettes"/>
    <s v="maquettes"/>
    <s v="Liste des datasets"/>
    <s v="Conception"/>
    <x v="0"/>
    <n v="30"/>
    <n v="0"/>
    <n v="30"/>
    <n v="0"/>
  </r>
  <r>
    <s v="Analyse et conception"/>
    <s v="Gestion Maquettes"/>
    <s v="maquettes"/>
    <s v="Formulaire de saisie (lieu, date, taxon)"/>
    <s v="Conception"/>
    <x v="0"/>
    <n v="60"/>
    <n v="0"/>
    <n v="60"/>
    <n v="0"/>
  </r>
  <r>
    <s v="Analyse et conception"/>
    <s v="Gestion Maquettes"/>
    <s v="maquettes"/>
    <s v="Formulaire de saisie (mesures et identification)"/>
    <s v="Conception"/>
    <x v="0"/>
    <n v="30"/>
    <n v="0"/>
    <n v="30"/>
    <n v="0"/>
  </r>
  <r>
    <s v="Analyse et conception"/>
    <s v="Gestion Maquettes"/>
    <s v="maquettes"/>
    <s v="Liste des données saisies"/>
    <s v="Conception"/>
    <x v="0"/>
    <n v="30"/>
    <n v="0"/>
    <n v="30"/>
    <n v="0"/>
  </r>
  <r>
    <s v="Analyse et conception"/>
    <s v="Gestion Maquettes"/>
    <s v="maquettes"/>
    <s v="Page d'import et rapport d'erreurs"/>
    <s v="Conception"/>
    <x v="0"/>
    <n v="45"/>
    <n v="0"/>
    <n v="45"/>
    <n v="0"/>
  </r>
  <r>
    <s v="Analyse et conception"/>
    <s v="Gestion Maquettes"/>
    <s v="maquettes"/>
    <s v="Catalogue d'attributs"/>
    <s v="Conception"/>
    <x v="0"/>
    <n v="30"/>
    <n v="0"/>
    <n v="30"/>
    <n v="0"/>
  </r>
  <r>
    <s v="Analyse et conception"/>
    <s v="Gestion Maquettes"/>
    <s v="maquettes"/>
    <s v="Création d'un tableau personnalisé"/>
    <s v="Conception"/>
    <x v="0"/>
    <n v="45"/>
    <n v="0"/>
    <n v="45"/>
    <n v="0"/>
  </r>
  <r>
    <s v="Analyse et conception"/>
    <s v="Gestion Maquettes"/>
    <s v="maquettes"/>
    <s v="Saisie d'une ligne"/>
    <s v="Conception"/>
    <x v="0"/>
    <n v="30"/>
    <n v="0"/>
    <n v="30"/>
    <n v="0"/>
  </r>
  <r>
    <s v="Analyse et conception"/>
    <s v="Gestion Maquettes"/>
    <s v="maquettes"/>
    <s v="Fiche taxon"/>
    <s v="Conception"/>
    <x v="0"/>
    <n v="30"/>
    <n v="0"/>
    <n v="30"/>
    <n v="0"/>
  </r>
  <r>
    <s v="Analyse et conception"/>
    <s v="Gestion Maquettes"/>
    <s v="maquettes"/>
    <s v="Validation des saisies"/>
    <s v="Conception"/>
    <x v="0"/>
    <n v="45"/>
    <n v="0"/>
    <n v="45"/>
    <n v="0"/>
  </r>
  <r>
    <s v="Analyse et conception"/>
    <s v="Gestion Maquettes"/>
    <s v="maquettes"/>
    <s v="Médias"/>
    <s v="Conception"/>
    <x v="0"/>
    <n v="30"/>
    <n v="0"/>
    <n v="30"/>
    <n v="0"/>
  </r>
  <r>
    <s v="Analyse et conception"/>
    <s v="Gestion Maquettes"/>
    <s v="maquettes"/>
    <s v="Espace partagé et recherche"/>
    <s v="Conception"/>
    <x v="0"/>
    <n v="30"/>
    <n v="0"/>
    <n v="30"/>
    <n v="0"/>
  </r>
  <r>
    <s v="Analyse et conception"/>
    <s v="Gestion Maquettes"/>
    <s v="maquettes"/>
    <s v="Notifications"/>
    <s v="Conception"/>
    <x v="0"/>
    <n v="30"/>
    <n v="0"/>
    <n v="30"/>
    <n v="0"/>
  </r>
  <r>
    <s v="Analyse et conception"/>
    <s v="Gestion Maquettes"/>
    <s v="maquettes"/>
    <s v="Profil"/>
    <s v="Conception"/>
    <x v="0"/>
    <n v="30"/>
    <n v="0"/>
    <n v="30"/>
    <n v="0"/>
  </r>
  <r>
    <s v="Analyse et conception"/>
    <s v="Gestion Maquettes"/>
    <s v="maquettes"/>
    <s v="Administration des utilisateurs"/>
    <s v="Conception"/>
    <x v="0"/>
    <n v="45"/>
    <n v="0"/>
    <n v="45"/>
    <n v="0"/>
  </r>
  <r>
    <s v="Analyse et conception"/>
    <s v="Gestion Maquettes"/>
    <s v="maquettesValidation"/>
    <s v="Présenter les maquettes à l'encadrant"/>
    <s v="Gestion"/>
    <x v="0"/>
    <n v="30"/>
    <n v="0"/>
    <n v="30"/>
    <n v="0"/>
  </r>
  <r>
    <s v="Analyse et conception"/>
    <s v="Gestion Maquettes"/>
    <s v="maquettesValidation"/>
    <s v="Les montrer à un chercheur"/>
    <s v="Gestion"/>
    <x v="0"/>
    <n v="30"/>
    <n v="0"/>
    <n v="30"/>
    <n v="0"/>
  </r>
  <r>
    <s v="Analyse et conception"/>
    <s v="Gestion Maquettes"/>
    <s v="maquettesValidation"/>
    <s v="Noter les retours"/>
    <s v="Gestion"/>
    <x v="0"/>
    <n v="15"/>
    <n v="0"/>
    <n v="15"/>
    <n v="0"/>
  </r>
  <r>
    <s v="Analyse et conception"/>
    <s v="Gestion Maquettes"/>
    <s v="maquettesValidation"/>
    <s v="Corriger les maquettes"/>
    <s v="Conception"/>
    <x v="0"/>
    <n v="45"/>
    <n v="0"/>
    <n v="45"/>
    <n v="0"/>
  </r>
  <r>
    <s v="Analyse et conception"/>
    <s v="Gestion Conception"/>
    <s v="dossierConception"/>
    <s v="Découper le schéma en modules"/>
    <s v="Redaction"/>
    <x v="0"/>
    <n v="30"/>
    <n v="0"/>
    <n v="30"/>
    <n v="0"/>
  </r>
  <r>
    <s v="Analyse et conception"/>
    <s v="Gestion Conception"/>
    <s v="dossierConception"/>
    <s v="Figure 1 : utilisateurs et recherches"/>
    <s v="Redaction"/>
    <x v="0"/>
    <n v="30"/>
    <n v="0"/>
    <n v="30"/>
    <n v="0"/>
  </r>
  <r>
    <s v="Analyse et conception"/>
    <s v="Gestion Conception"/>
    <s v="dossierConception"/>
    <s v="Figure 2 : terrain et génétique"/>
    <s v="Redaction"/>
    <x v="0"/>
    <n v="30"/>
    <n v="0"/>
    <n v="30"/>
    <n v="0"/>
  </r>
  <r>
    <s v="Analyse et conception"/>
    <s v="Gestion Conception"/>
    <s v="dossierConception"/>
    <s v="Figure 3 : occurrences, mesures et matériel"/>
    <s v="Redaction"/>
    <x v="0"/>
    <n v="30"/>
    <n v="0"/>
    <n v="30"/>
    <n v="0"/>
  </r>
  <r>
    <s v="Analyse et conception"/>
    <s v="Gestion Conception"/>
    <s v="dossierConception"/>
    <s v="Figure 4 : identification et taxonomie"/>
    <s v="Redaction"/>
    <x v="0"/>
    <n v="30"/>
    <n v="0"/>
    <n v="30"/>
    <n v="0"/>
  </r>
  <r>
    <s v="Analyse et conception"/>
    <s v="Gestion Conception"/>
    <s v="dossierConception"/>
    <s v="Choisir les maquettes principales"/>
    <s v="Redaction"/>
    <x v="0"/>
    <n v="30"/>
    <n v="0"/>
    <n v="30"/>
    <n v="0"/>
  </r>
  <r>
    <s v="Analyse et conception"/>
    <s v="Gestion Conception"/>
    <s v="dossierConception"/>
    <s v="Capturer les maquettes"/>
    <s v="Redaction"/>
    <x v="0"/>
    <n v="30"/>
    <n v="0"/>
    <n v="30"/>
    <n v="0"/>
  </r>
  <r>
    <s v="Analyse et conception"/>
    <s v="Gestion Conception"/>
    <s v="dossierConception"/>
    <s v="Introduction du dossier"/>
    <s v="Redaction"/>
    <x v="0"/>
    <n v="15"/>
    <n v="0"/>
    <n v="15"/>
    <n v="0"/>
  </r>
  <r>
    <s v="Analyse et conception"/>
    <s v="Gestion Conception"/>
    <s v="dossierConception"/>
    <s v="Architecture"/>
    <s v="Redaction"/>
    <x v="0"/>
    <n v="45"/>
    <n v="0"/>
    <n v="45"/>
    <n v="0"/>
  </r>
  <r>
    <s v="Analyse et conception"/>
    <s v="Gestion Conception"/>
    <s v="dossierConception"/>
    <s v="Relecture et mise en forme"/>
    <s v="Redaction"/>
    <x v="0"/>
    <n v="30"/>
    <n v="0"/>
    <n v="30"/>
    <n v="0"/>
  </r>
  <r>
    <s v="Analyse et conception"/>
    <s v="Gestion Conception"/>
    <s v="listeAPI"/>
    <s v="Endpoints d'authentification"/>
    <s v="Conception"/>
    <x v="0"/>
    <n v="15"/>
    <n v="0"/>
    <n v="15"/>
    <n v="0"/>
  </r>
  <r>
    <s v="Analyse et conception"/>
    <s v="Gestion Conception"/>
    <s v="listeAPI"/>
    <s v="Endpoints d'invitation et d'utilisateurs"/>
    <s v="Conception"/>
    <x v="0"/>
    <n v="15"/>
    <n v="0"/>
    <n v="15"/>
    <n v="0"/>
  </r>
  <r>
    <s v="Analyse et conception"/>
    <s v="Gestion Conception"/>
    <s v="listeAPI"/>
    <s v="Endpoints des recherches et des datasets"/>
    <s v="Conception"/>
    <x v="0"/>
    <n v="15"/>
    <n v="0"/>
    <n v="15"/>
    <n v="0"/>
  </r>
  <r>
    <s v="Analyse et conception"/>
    <s v="Gestion Conception"/>
    <s v="listeAPI"/>
    <s v="Endpoints de saisie"/>
    <s v="Conception"/>
    <x v="0"/>
    <n v="15"/>
    <n v="0"/>
    <n v="15"/>
    <n v="0"/>
  </r>
  <r>
    <s v="Analyse et conception"/>
    <s v="Gestion Conception"/>
    <s v="listeAPI"/>
    <s v="Endpoints d'import et d'export"/>
    <s v="Conception"/>
    <x v="0"/>
    <n v="15"/>
    <n v="0"/>
    <n v="15"/>
    <n v="0"/>
  </r>
  <r>
    <s v="Analyse et conception"/>
    <s v="Gestion Conception"/>
    <s v="listeAPI"/>
    <s v="Endpoints des tableaux personnalisés"/>
    <s v="Conception"/>
    <x v="0"/>
    <n v="15"/>
    <n v="0"/>
    <n v="15"/>
    <n v="0"/>
  </r>
  <r>
    <s v="Analyse et conception"/>
    <s v="Gestion Conception"/>
    <s v="listeAPI"/>
    <s v="Endpoints du taxon et du partage"/>
    <s v="Conception"/>
    <x v="0"/>
    <n v="15"/>
    <n v="0"/>
    <n v="15"/>
    <n v="0"/>
  </r>
  <r>
    <s v="Analyse et conception"/>
    <s v="Gestion Conception"/>
    <s v="listeAPI"/>
    <s v="Endpoints de synchronisation hors ligne"/>
    <s v="Conception"/>
    <x v="0"/>
    <n v="15"/>
    <n v="0"/>
    <n v="15"/>
    <n v="0"/>
  </r>
  <r>
    <s v="Analyse et conception"/>
    <s v="Gestion Conception"/>
    <s v="listeAPI"/>
    <s v="Endpoints de validation"/>
    <s v="Conception"/>
    <x v="0"/>
    <n v="15"/>
    <n v="0"/>
    <n v="15"/>
    <n v="0"/>
  </r>
  <r>
    <s v="Analyse et conception"/>
    <s v="Gestion Conception"/>
    <s v="listeAPI"/>
    <s v="Endpoints des médias"/>
    <s v="Conception"/>
    <x v="0"/>
    <n v="15"/>
    <n v="0"/>
    <n v="15"/>
    <n v="0"/>
  </r>
  <r>
    <s v="Analyse et conception"/>
    <s v="Gestion Conception"/>
    <s v="listeAPI"/>
    <s v="Endpoints des notifications"/>
    <s v="Conception"/>
    <x v="0"/>
    <n v="15"/>
    <n v="0"/>
    <n v="15"/>
    <n v="0"/>
  </r>
  <r>
    <s v="Analyse et conception"/>
    <s v="Gestion Conception"/>
    <s v="listeAPI"/>
    <s v="Rôle autorisé pour chaque endpoint"/>
    <s v="Conception"/>
    <x v="0"/>
    <n v="15"/>
    <n v="0"/>
    <n v="15"/>
    <n v="0"/>
  </r>
  <r>
    <s v="Analyse et conception"/>
    <s v="Gestion Conception"/>
    <s v="donneesTest"/>
    <s v="Rechercher des exemples de fichiers"/>
    <s v="Conception"/>
    <x v="0"/>
    <n v="30"/>
    <n v="0"/>
    <n v="30"/>
    <n v="0"/>
  </r>
  <r>
    <s v="Analyse et conception"/>
    <s v="Gestion Conception"/>
    <s v="donneesTest"/>
    <s v="Fichier Excel propre"/>
    <s v="Conception"/>
    <x v="0"/>
    <n v="30"/>
    <n v="0"/>
    <n v="30"/>
    <n v="0"/>
  </r>
  <r>
    <s v="Analyse et conception"/>
    <s v="Gestion Conception"/>
    <s v="donneesTest"/>
    <s v="Fichier CSV propre"/>
    <s v="Conception"/>
    <x v="0"/>
    <n v="30"/>
    <n v="0"/>
    <n v="30"/>
    <n v="0"/>
  </r>
  <r>
    <s v="Analyse et conception"/>
    <s v="Gestion Conception"/>
    <s v="donneesTest"/>
    <s v="Fichier avec colonnes manquantes"/>
    <s v="Conception"/>
    <x v="0"/>
    <n v="15"/>
    <n v="0"/>
    <n v="15"/>
    <n v="0"/>
  </r>
  <r>
    <s v="Analyse et conception"/>
    <s v="Gestion Conception"/>
    <s v="donneesTest"/>
    <s v="Fichier avec doublons"/>
    <s v="Conception"/>
    <x v="0"/>
    <n v="15"/>
    <n v="0"/>
    <n v="15"/>
    <n v="0"/>
  </r>
  <r>
    <s v="Analyse et conception"/>
    <s v="Gestion Conception"/>
    <s v="donneesTest"/>
    <s v="Fichier avec dates mal formatées"/>
    <s v="Conception"/>
    <x v="0"/>
    <n v="15"/>
    <n v="0"/>
    <n v="15"/>
    <n v="0"/>
  </r>
  <r>
    <s v="Analyse et conception"/>
    <s v="Gestion Conception"/>
    <s v="donneesTest"/>
    <s v="Fichier avec caractères spéciaux"/>
    <s v="Conception"/>
    <x v="0"/>
    <n v="15"/>
    <n v="0"/>
    <n v="15"/>
    <n v="0"/>
  </r>
  <r>
    <s v="Analyse et conception"/>
    <s v="Gestion Conception"/>
    <s v="donneesTest"/>
    <s v="Jeu de données de démonstration"/>
    <s v="Conception"/>
    <x v="0"/>
    <n v="30"/>
    <n v="0"/>
    <n v="30"/>
    <n v="0"/>
  </r>
  <r>
    <s v="Analyse et conception"/>
    <s v="Gestion Conception"/>
    <s v="planning"/>
    <s v="Lister les phases"/>
    <s v="Gestion"/>
    <x v="0"/>
    <n v="30"/>
    <n v="0"/>
    <n v="30"/>
    <n v="0"/>
  </r>
  <r>
    <s v="Analyse et conception"/>
    <s v="Gestion Conception"/>
    <s v="planning"/>
    <s v="Découper en semaines"/>
    <s v="Gestion"/>
    <x v="0"/>
    <n v="30"/>
    <n v="0"/>
    <n v="30"/>
    <n v="0"/>
  </r>
  <r>
    <s v="Analyse et conception"/>
    <s v="Gestion Conception"/>
    <s v="planning"/>
    <s v="Détail jour par jour (S1 à S4)"/>
    <s v="Gestion"/>
    <x v="0"/>
    <n v="30"/>
    <n v="0"/>
    <n v="30"/>
    <n v="0"/>
  </r>
  <r>
    <s v="Analyse et conception"/>
    <s v="Gestion Conception"/>
    <s v="planning"/>
    <s v="Détail jour par jour (S5 à S8)"/>
    <s v="Gestion"/>
    <x v="0"/>
    <n v="30"/>
    <n v="0"/>
    <n v="30"/>
    <n v="0"/>
  </r>
  <r>
    <s v="Analyse et conception"/>
    <s v="Gestion Conception"/>
    <s v="planning"/>
    <s v="Détail jour par jour (S9 à S13)"/>
    <s v="Gestion"/>
    <x v="0"/>
    <n v="30"/>
    <n v="0"/>
    <n v="30"/>
    <n v="0"/>
  </r>
  <r>
    <s v="Analyse et conception"/>
    <s v="Gestion Conception"/>
    <s v="planning"/>
    <s v="Règles en cas de retard"/>
    <s v="Gestion"/>
    <x v="0"/>
    <n v="30"/>
    <n v="0"/>
    <n v="30"/>
    <n v="0"/>
  </r>
  <r>
    <s v="Mise en place"/>
    <s v="Gestion Environnement"/>
    <s v="github"/>
    <s v="Créer le dépôt"/>
    <s v="Configuration"/>
    <x v="0"/>
    <n v="15"/>
    <n v="0"/>
    <n v="15"/>
    <n v="0"/>
  </r>
  <r>
    <s v="Mise en place"/>
    <s v="Gestion Environnement"/>
    <s v="github"/>
    <s v="Dossiers backend et frontend"/>
    <s v="Configuration"/>
    <x v="0"/>
    <n v="15"/>
    <n v="0"/>
    <n v="15"/>
    <n v="0"/>
  </r>
  <r>
    <s v="Mise en place"/>
    <s v="Gestion Environnement"/>
    <s v="github"/>
    <s v="README"/>
    <s v="Configuration"/>
    <x v="0"/>
    <n v="30"/>
    <n v="0"/>
    <n v="30"/>
    <n v="0"/>
  </r>
  <r>
    <s v="Mise en place"/>
    <s v="Gestion Environnement"/>
    <s v="github"/>
    <s v=".gitignore"/>
    <s v="Configuration"/>
    <x v="0"/>
    <n v="15"/>
    <n v="0"/>
    <n v="15"/>
    <n v="0"/>
  </r>
  <r>
    <s v="Mise en place"/>
    <s v="Gestion Environnement"/>
    <s v="github"/>
    <s v="Premier commit"/>
    <s v="Configuration"/>
    <x v="0"/>
    <n v="15"/>
    <n v="0"/>
    <n v="15"/>
    <n v="0"/>
  </r>
  <r>
    <s v="Mise en place"/>
    <s v="Gestion Environnement"/>
    <s v="github"/>
    <s v="Règles de branches"/>
    <s v="Configuration"/>
    <x v="0"/>
    <n v="30"/>
    <n v="0"/>
    <n v="30"/>
    <n v="0"/>
  </r>
  <r>
    <s v="Mise en place"/>
    <s v="Gestion Environnement"/>
    <s v="docker"/>
    <s v="Service PostgreSQL"/>
    <s v="Configuration"/>
    <x v="0"/>
    <n v="30"/>
    <n v="0"/>
    <n v="30"/>
    <n v="0"/>
  </r>
  <r>
    <s v="Mise en place"/>
    <s v="Gestion Environnement"/>
    <s v="docker"/>
    <s v="Service MinIO"/>
    <s v="Configuration"/>
    <x v="0"/>
    <n v="30"/>
    <n v="0"/>
    <n v="30"/>
    <n v="0"/>
  </r>
  <r>
    <s v="Mise en place"/>
    <s v="Gestion Environnement"/>
    <s v="docker"/>
    <s v="Volumes persistants"/>
    <s v="Configuration"/>
    <x v="0"/>
    <n v="15"/>
    <n v="0"/>
    <n v="15"/>
    <n v="0"/>
  </r>
  <r>
    <s v="Mise en place"/>
    <s v="Gestion Environnement"/>
    <s v="docker"/>
    <s v="Variables d'environnement"/>
    <s v="Configuration"/>
    <x v="0"/>
    <n v="15"/>
    <n v="0"/>
    <n v="15"/>
    <n v="0"/>
  </r>
  <r>
    <s v="Mise en place"/>
    <s v="Gestion Environnement"/>
    <s v="docker"/>
    <s v="Démarrage et test"/>
    <s v="Configuration"/>
    <x v="0"/>
    <n v="30"/>
    <n v="0"/>
    <n v="30"/>
    <n v="0"/>
  </r>
  <r>
    <s v="Mise en place"/>
    <s v="Gestion Environnement"/>
    <s v="dockerSQL"/>
    <s v="Copier le script dans le dossier d'initialisation"/>
    <s v="Configuration"/>
    <x v="0"/>
    <n v="15"/>
    <n v="0"/>
    <n v="15"/>
    <n v="0"/>
  </r>
  <r>
    <s v="Mise en place"/>
    <s v="Gestion Environnement"/>
    <s v="dockerSQL"/>
    <s v="Démarrer la base"/>
    <s v="Configuration"/>
    <x v="0"/>
    <n v="15"/>
    <n v="0"/>
    <n v="15"/>
    <n v="0"/>
  </r>
  <r>
    <s v="Mise en place"/>
    <s v="Gestion Environnement"/>
    <s v="dockerSQL"/>
    <s v="Vérifier les 41 tables"/>
    <s v="Configuration"/>
    <x v="0"/>
    <n v="30"/>
    <n v="0"/>
    <n v="30"/>
    <n v="0"/>
  </r>
  <r>
    <s v="Mise en place"/>
    <s v="Gestion Environnement"/>
    <s v="springBoot"/>
    <s v="Générer le projet"/>
    <s v="Configuration"/>
    <x v="0"/>
    <n v="30"/>
    <n v="0"/>
    <n v="30"/>
    <n v="0"/>
  </r>
  <r>
    <s v="Mise en place"/>
    <s v="Gestion Environnement"/>
    <s v="springBoot"/>
    <s v="Dépendances (Web, Security, JPA, PostgreSQL)"/>
    <s v="Configuration"/>
    <x v="0"/>
    <n v="30"/>
    <n v="0"/>
    <n v="30"/>
    <n v="0"/>
  </r>
  <r>
    <s v="Mise en place"/>
    <s v="Gestion Environnement"/>
    <s v="springBoot"/>
    <s v="Swagger"/>
    <s v="Configuration"/>
    <x v="0"/>
    <n v="30"/>
    <n v="0"/>
    <n v="30"/>
    <n v="0"/>
  </r>
  <r>
    <s v="Mise en place"/>
    <s v="Gestion Environnement"/>
    <s v="springBoot"/>
    <s v="Fichier de configuration (application.yml)"/>
    <s v="Configuration"/>
    <x v="0"/>
    <n v="30"/>
    <n v="0"/>
    <n v="30"/>
    <n v="0"/>
  </r>
  <r>
    <s v="Mise en place"/>
    <s v="Gestion Environnement"/>
    <s v="springBoot"/>
    <s v="Structure des packages"/>
    <s v="Configuration"/>
    <x v="0"/>
    <n v="30"/>
    <n v="0"/>
    <n v="30"/>
    <n v="0"/>
  </r>
  <r>
    <s v="Mise en place"/>
    <s v="Gestion Environnement"/>
    <s v="springBoot"/>
    <s v="Première route de test"/>
    <s v="Configuration"/>
    <x v="0"/>
    <n v="30"/>
    <n v="0"/>
    <n v="30"/>
    <n v="0"/>
  </r>
  <r>
    <s v="Mise en place"/>
    <s v="Gestion Environnement"/>
    <s v="entites"/>
    <s v="Connexion à PostgreSQL"/>
    <s v="Metier"/>
    <x v="0"/>
    <n v="30"/>
    <n v="0"/>
    <n v="30"/>
    <n v="0"/>
  </r>
  <r>
    <s v="Mise en place"/>
    <s v="Gestion Environnement"/>
    <s v="entites"/>
    <s v="Entité Utilisateur"/>
    <s v="Metier"/>
    <x v="0"/>
    <n v="15"/>
    <n v="0"/>
    <n v="15"/>
    <n v="0"/>
  </r>
  <r>
    <s v="Mise en place"/>
    <s v="Gestion Environnement"/>
    <s v="entites"/>
    <s v="Entité Agent"/>
    <s v="Metier"/>
    <x v="0"/>
    <n v="15"/>
    <n v="0"/>
    <n v="15"/>
    <n v="0"/>
  </r>
  <r>
    <s v="Mise en place"/>
    <s v="Gestion Environnement"/>
    <s v="entites"/>
    <s v="Entité recherche"/>
    <s v="Metier"/>
    <x v="0"/>
    <n v="15"/>
    <n v="0"/>
    <n v="15"/>
    <n v="0"/>
  </r>
  <r>
    <s v="Mise en place"/>
    <s v="Gestion Environnement"/>
    <s v="entites"/>
    <s v="Entité Dataset"/>
    <s v="Metier"/>
    <x v="0"/>
    <n v="15"/>
    <n v="0"/>
    <n v="15"/>
    <n v="0"/>
  </r>
  <r>
    <s v="Mise en place"/>
    <s v="Gestion Environnement"/>
    <s v="entites"/>
    <s v="Repositories"/>
    <s v="Metier"/>
    <x v="0"/>
    <n v="30"/>
    <n v="0"/>
    <n v="30"/>
    <n v="0"/>
  </r>
  <r>
    <s v="Mise en place"/>
    <s v="Gestion Environnement"/>
    <s v="vueJs"/>
    <s v="Créer le projet Vue.js"/>
    <s v="Configuration"/>
    <x v="0"/>
    <n v="30"/>
    <n v="0"/>
    <n v="30"/>
    <n v="0"/>
  </r>
  <r>
    <s v="Mise en place"/>
    <s v="Gestion Environnement"/>
    <s v="vueJs"/>
    <s v="Importer le template Bootstrap"/>
    <s v="Configuration"/>
    <x v="0"/>
    <n v="30"/>
    <n v="0"/>
    <n v="30"/>
    <n v="0"/>
  </r>
  <r>
    <s v="Mise en place"/>
    <s v="Gestion Environnement"/>
    <s v="vueJs"/>
    <s v="Layout principal"/>
    <s v="Configuration"/>
    <x v="0"/>
    <n v="30"/>
    <n v="0"/>
    <n v="30"/>
    <n v="0"/>
  </r>
  <r>
    <s v="Mise en place"/>
    <s v="Gestion Environnement"/>
    <s v="vueJs"/>
    <s v="Menu latéral"/>
    <s v="Configuration"/>
    <x v="0"/>
    <n v="30"/>
    <n v="0"/>
    <n v="30"/>
    <n v="0"/>
  </r>
  <r>
    <s v="Mise en place"/>
    <s v="Gestion Environnement"/>
    <s v="vueJs"/>
    <s v="Routage"/>
    <s v="Configuration"/>
    <x v="0"/>
    <n v="30"/>
    <n v="0"/>
    <n v="30"/>
    <n v="0"/>
  </r>
  <r>
    <s v="Mise en place"/>
    <s v="Gestion Environnement"/>
    <s v="vueJs"/>
    <s v="Une page vide par module"/>
    <s v="Configuration"/>
    <x v="0"/>
    <n v="30"/>
    <n v="0"/>
    <n v="30"/>
    <n v="0"/>
  </r>
  <r>
    <s v="Mise en place"/>
    <s v="Gestion Environnement"/>
    <s v="i18n"/>
    <s v="Installer vue-i18n"/>
    <s v="Affichage"/>
    <x v="0"/>
    <n v="15"/>
    <n v="0"/>
    <n v="15"/>
    <n v="0"/>
  </r>
  <r>
    <s v="Mise en place"/>
    <s v="Gestion Environnement"/>
    <s v="i18n"/>
    <s v="Fichiers fr.json et en.json"/>
    <s v="Affichage"/>
    <x v="0"/>
    <n v="15"/>
    <n v="0"/>
    <n v="15"/>
    <n v="0"/>
  </r>
  <r>
    <s v="Mise en place"/>
    <s v="Gestion Environnement"/>
    <s v="i18n"/>
    <s v="Sélecteur de langue"/>
    <s v="Affichage"/>
    <x v="0"/>
    <n v="30"/>
    <n v="0"/>
    <n v="30"/>
    <n v="0"/>
  </r>
  <r>
    <s v="Mise en place"/>
    <s v="Gestion Environnement"/>
    <s v="themeSombre"/>
    <s v="Variables de couleurs"/>
    <s v="Affichage"/>
    <x v="0"/>
    <n v="30"/>
    <n v="0"/>
    <n v="30"/>
    <n v="0"/>
  </r>
  <r>
    <s v="Mise en place"/>
    <s v="Gestion Environnement"/>
    <s v="themeSombre"/>
    <s v="Bouton de bascule"/>
    <s v="Affichage"/>
    <x v="0"/>
    <n v="15"/>
    <n v="0"/>
    <n v="15"/>
    <n v="0"/>
  </r>
  <r>
    <s v="Mise en place"/>
    <s v="Gestion Environnement"/>
    <s v="themeSombre"/>
    <s v="Mémoriser le choix"/>
    <s v="Affichage"/>
    <x v="0"/>
    <n v="15"/>
    <n v="0"/>
    <n v="15"/>
    <n v="0"/>
  </r>
  <r>
    <s v="Frontoffice"/>
    <s v="Gestion Authentification"/>
    <s v="authService"/>
    <s v="Endpoint POST /login"/>
    <s v="Metier"/>
    <x v="0"/>
    <n v="30"/>
    <n v="0"/>
    <n v="30"/>
    <n v="0"/>
  </r>
  <r>
    <s v="Frontoffice"/>
    <s v="Gestion Authentification"/>
    <s v="authService"/>
    <s v="Vérification de l'e-mail et du mot de passe"/>
    <s v="Metier"/>
    <x v="0"/>
    <n v="30"/>
    <n v="0"/>
    <n v="30"/>
    <n v="0"/>
  </r>
  <r>
    <s v="Frontoffice"/>
    <s v="Gestion Authentification"/>
    <s v="authService"/>
    <s v="Génération du jeton"/>
    <s v="Metier"/>
    <x v="0"/>
    <n v="30"/>
    <n v="0"/>
    <n v="30"/>
    <n v="0"/>
  </r>
  <r>
    <s v="Frontoffice"/>
    <s v="Gestion Authentification"/>
    <s v="authService"/>
    <s v="Durée de validité du jeton"/>
    <s v="Metier"/>
    <x v="0"/>
    <n v="15"/>
    <n v="0"/>
    <n v="15"/>
    <n v="0"/>
  </r>
  <r>
    <s v="Frontoffice"/>
    <s v="Gestion Authentification"/>
    <s v="authService"/>
    <s v="Réponse avec le rôle"/>
    <s v="Metier"/>
    <x v="0"/>
    <n v="15"/>
    <n v="0"/>
    <n v="15"/>
    <n v="0"/>
  </r>
  <r>
    <s v="Frontoffice"/>
    <s v="Gestion Authentification"/>
    <s v="authService"/>
    <s v="Erreurs (identifiants invalides)"/>
    <s v="Metier"/>
    <x v="0"/>
    <n v="30"/>
    <n v="0"/>
    <n v="30"/>
    <n v="0"/>
  </r>
  <r>
    <s v="Frontoffice"/>
    <s v="Gestion Authentification"/>
    <s v="authService"/>
    <s v="Hachage BCrypt"/>
    <s v="Metier"/>
    <x v="0"/>
    <n v="30"/>
    <n v="0"/>
    <n v="30"/>
    <n v="0"/>
  </r>
  <r>
    <s v="Frontoffice"/>
    <s v="Gestion Authentification"/>
    <s v="authService"/>
    <s v="Énumération des rôles"/>
    <s v="Metier"/>
    <x v="0"/>
    <n v="15"/>
    <n v="0"/>
    <n v="15"/>
    <n v="0"/>
  </r>
  <r>
    <s v="Frontoffice"/>
    <s v="Gestion Authentification"/>
    <s v="authService"/>
    <s v="Association utilisateur-rôle"/>
    <s v="Metier"/>
    <x v="0"/>
    <n v="30"/>
    <n v="0"/>
    <n v="30"/>
    <n v="0"/>
  </r>
  <r>
    <s v="Frontoffice"/>
    <s v="Gestion Authentification"/>
    <s v="authService"/>
    <s v="Rôle dans le jeton"/>
    <s v="Metier"/>
    <x v="0"/>
    <n v="15"/>
    <n v="0"/>
    <n v="15"/>
    <n v="0"/>
  </r>
  <r>
    <s v="Frontoffice"/>
    <s v="Gestion Authentification"/>
    <s v="securityConfig"/>
    <s v="Filtre de sécurité JWT"/>
    <s v="Metier"/>
    <x v="0"/>
    <n v="30"/>
    <n v="0"/>
    <n v="30"/>
    <n v="0"/>
  </r>
  <r>
    <s v="Frontoffice"/>
    <s v="Gestion Authentification"/>
    <s v="securityConfig"/>
    <s v="Règles d'accès par rôle"/>
    <s v="Metier"/>
    <x v="0"/>
    <n v="30"/>
    <n v="0"/>
    <n v="30"/>
    <n v="0"/>
  </r>
  <r>
    <s v="Frontoffice"/>
    <s v="Gestion Authentification"/>
    <s v="authTest"/>
    <s v="Appel sans jeton (refus)"/>
    <s v="Test"/>
    <x v="0"/>
    <n v="15"/>
    <n v="0"/>
    <n v="15"/>
    <n v="0"/>
  </r>
  <r>
    <s v="Frontoffice"/>
    <s v="Gestion Authentification"/>
    <s v="authTest"/>
    <s v="Appel avec jeton (succès)"/>
    <s v="Test"/>
    <x v="0"/>
    <n v="15"/>
    <n v="0"/>
    <n v="15"/>
    <n v="0"/>
  </r>
  <r>
    <s v="Frontoffice"/>
    <s v="Gestion Authentification"/>
    <s v="loginView"/>
    <s v="Formulaire e-mail et mot de passe"/>
    <s v="Affichage"/>
    <x v="0"/>
    <n v="30"/>
    <n v="0"/>
    <n v="30"/>
    <n v="0"/>
  </r>
  <r>
    <s v="Frontoffice"/>
    <s v="Gestion Authentification"/>
    <s v="loginView"/>
    <s v="Bouton de connexion"/>
    <s v="Affichage"/>
    <x v="0"/>
    <n v="15"/>
    <n v="0"/>
    <n v="15"/>
    <n v="0"/>
  </r>
  <r>
    <s v="Frontoffice"/>
    <s v="Gestion Authentification"/>
    <s v="loginView"/>
    <s v="Messages d'erreur"/>
    <s v="Affichage"/>
    <x v="0"/>
    <n v="30"/>
    <n v="0"/>
    <n v="30"/>
    <n v="0"/>
  </r>
  <r>
    <s v="Frontoffice"/>
    <s v="Gestion Authentification"/>
    <s v="loginView"/>
    <s v="Lien « mot de passe oublié »"/>
    <s v="Affichage"/>
    <x v="0"/>
    <n v="15"/>
    <n v="0"/>
    <n v="15"/>
    <n v="0"/>
  </r>
  <r>
    <s v="Frontoffice"/>
    <s v="Gestion Authentification"/>
    <s v="loginView"/>
    <s v="Style de la page"/>
    <s v="Affichage"/>
    <x v="0"/>
    <n v="30"/>
    <n v="0"/>
    <n v="30"/>
    <n v="0"/>
  </r>
  <r>
    <s v="Frontoffice"/>
    <s v="Gestion Authentification"/>
    <s v="authStore"/>
    <s v="Stocker le jeton"/>
    <s v="Metier"/>
    <x v="0"/>
    <n v="30"/>
    <n v="0"/>
    <n v="30"/>
    <n v="0"/>
  </r>
  <r>
    <s v="Frontoffice"/>
    <s v="Gestion Authentification"/>
    <s v="authStore"/>
    <s v="Déconnexion"/>
    <s v="Metier"/>
    <x v="0"/>
    <n v="15"/>
    <n v="0"/>
    <n v="15"/>
    <n v="0"/>
  </r>
  <r>
    <s v="Frontoffice"/>
    <s v="Gestion Authentification"/>
    <s v="authStore"/>
    <s v="Rester connecté après un rechargement"/>
    <s v="Metier"/>
    <x v="0"/>
    <n v="15"/>
    <n v="0"/>
    <n v="15"/>
    <n v="0"/>
  </r>
  <r>
    <s v="Frontoffice"/>
    <s v="Gestion Authentification"/>
    <s v="router"/>
    <s v="Garde de navigation (connecté)"/>
    <s v="Metier"/>
    <x v="0"/>
    <n v="30"/>
    <n v="0"/>
    <n v="30"/>
    <n v="0"/>
  </r>
  <r>
    <s v="Frontoffice"/>
    <s v="Gestion Authentification"/>
    <s v="router"/>
    <s v="Garde par rôle"/>
    <s v="Metier"/>
    <x v="0"/>
    <n v="30"/>
    <n v="0"/>
    <n v="30"/>
    <n v="0"/>
  </r>
  <r>
    <s v="Frontoffice"/>
    <s v="Gestion Authentification"/>
    <s v="loginView"/>
    <s v="Integration : appel de l'API de connexion"/>
    <s v="Integration"/>
    <x v="0"/>
    <n v="15"/>
    <n v="0"/>
    <n v="15"/>
    <n v="0"/>
  </r>
  <r>
    <s v="Frontoffice"/>
    <s v="Gestion Authentification"/>
    <s v="loginView"/>
    <s v="Integration : redirection après connexion"/>
    <s v="Integration"/>
    <x v="0"/>
    <n v="15"/>
    <n v="0"/>
    <n v="15"/>
    <n v="0"/>
  </r>
  <r>
    <s v="Backoffice"/>
    <s v="Gestion Invitation"/>
    <s v="emailService"/>
    <s v="Configuration SMTP"/>
    <s v="Metier"/>
    <x v="0"/>
    <n v="30"/>
    <n v="0"/>
    <n v="30"/>
    <n v="0"/>
  </r>
  <r>
    <s v="Backoffice"/>
    <s v="Gestion Invitation"/>
    <s v="emailService"/>
    <s v="Modèle d'e-mail d'invitation"/>
    <s v="Metier"/>
    <x v="0"/>
    <n v="30"/>
    <n v="0"/>
    <n v="30"/>
    <n v="0"/>
  </r>
  <r>
    <s v="Backoffice"/>
    <s v="Gestion Invitation"/>
    <s v="emailService"/>
    <s v="Méthode d'envoi"/>
    <s v="Metier"/>
    <x v="0"/>
    <n v="30"/>
    <n v="0"/>
    <n v="30"/>
    <n v="0"/>
  </r>
  <r>
    <s v="Backoffice"/>
    <s v="Gestion Invitation"/>
    <s v="emailService"/>
    <s v="Test avec un outil local"/>
    <s v="Metier"/>
    <x v="0"/>
    <n v="30"/>
    <n v="0"/>
    <n v="30"/>
    <n v="0"/>
  </r>
  <r>
    <s v="Backoffice"/>
    <s v="Gestion Invitation"/>
    <s v="invitationService"/>
    <s v="Entité invitation (jeton, expiration)"/>
    <s v="Metier"/>
    <x v="0"/>
    <n v="30"/>
    <n v="0"/>
    <n v="30"/>
    <n v="0"/>
  </r>
  <r>
    <s v="Backoffice"/>
    <s v="Gestion Invitation"/>
    <s v="invitationService"/>
    <s v="Génération du jeton unique"/>
    <s v="Metier"/>
    <x v="0"/>
    <n v="30"/>
    <n v="0"/>
    <n v="30"/>
    <n v="0"/>
  </r>
  <r>
    <s v="Backoffice"/>
    <s v="Gestion Invitation"/>
    <s v="invitationService"/>
    <s v="Contrôle : e-mail déjà utilisé"/>
    <s v="Metier"/>
    <x v="0"/>
    <n v="30"/>
    <n v="0"/>
    <n v="30"/>
    <n v="0"/>
  </r>
  <r>
    <s v="Backoffice"/>
    <s v="Gestion Invitation"/>
    <s v="invitationService"/>
    <s v="Enregistrement de l'invitation"/>
    <s v="Metier"/>
    <x v="0"/>
    <n v="30"/>
    <n v="0"/>
    <n v="30"/>
    <n v="0"/>
  </r>
  <r>
    <s v="Backoffice"/>
    <s v="Gestion Invitation"/>
    <s v="invitationService"/>
    <s v="Envoi de l'e-mail"/>
    <s v="Metier"/>
    <x v="0"/>
    <n v="30"/>
    <n v="0"/>
    <n v="30"/>
    <n v="0"/>
  </r>
  <r>
    <s v="Backoffice"/>
    <s v="Gestion Invitation"/>
    <s v="invitationService"/>
    <s v="Endpoint POST /invitations (administrateur)"/>
    <s v="Metier"/>
    <x v="0"/>
    <n v="30"/>
    <n v="0"/>
    <n v="30"/>
    <n v="0"/>
  </r>
  <r>
    <s v="Backoffice"/>
    <s v="Gestion Invitation"/>
    <s v="invitationView"/>
    <s v="Champs nom et e-mail"/>
    <s v="Affichage"/>
    <x v="0"/>
    <n v="15"/>
    <n v="0"/>
    <n v="15"/>
    <n v="0"/>
  </r>
  <r>
    <s v="Backoffice"/>
    <s v="Gestion Invitation"/>
    <s v="invitationView"/>
    <s v="Choix du rôle"/>
    <s v="Affichage"/>
    <x v="0"/>
    <n v="15"/>
    <n v="0"/>
    <n v="15"/>
    <n v="0"/>
  </r>
  <r>
    <s v="Backoffice"/>
    <s v="Gestion Invitation"/>
    <s v="invitationView"/>
    <s v="Bouton Inviter et confirmation"/>
    <s v="Affichage"/>
    <x v="0"/>
    <n v="30"/>
    <n v="0"/>
    <n v="30"/>
    <n v="0"/>
  </r>
  <r>
    <s v="Backoffice"/>
    <s v="Gestion Invitation"/>
    <s v="invitationView"/>
    <s v="Integration : appel de l'API d'invitation"/>
    <s v="Integration"/>
    <x v="0"/>
    <n v="15"/>
    <n v="0"/>
    <n v="15"/>
    <n v="0"/>
  </r>
  <r>
    <s v="Backoffice"/>
    <s v="Gestion Invitation"/>
    <s v="invitationView"/>
    <s v="Integration : message de succès ou d'erreur"/>
    <s v="Integration"/>
    <x v="0"/>
    <n v="15"/>
    <n v="0"/>
    <n v="15"/>
    <n v="0"/>
  </r>
  <r>
    <s v="Frontoffice"/>
    <s v="Gestion Mot de passe"/>
    <s v="motDePasseView"/>
    <s v="Formulaire du nouveau mot de passe"/>
    <s v="Affichage"/>
    <x v="0"/>
    <n v="30"/>
    <n v="0"/>
    <n v="30"/>
    <n v="0"/>
  </r>
  <r>
    <s v="Frontoffice"/>
    <s v="Gestion Mot de passe"/>
    <s v="motDePasseView"/>
    <s v="Confirmation et règles de complexité"/>
    <s v="Affichage"/>
    <x v="0"/>
    <n v="30"/>
    <n v="0"/>
    <n v="30"/>
    <n v="0"/>
  </r>
  <r>
    <s v="Frontoffice"/>
    <s v="Gestion Mot de passe"/>
    <s v="motDePasseView"/>
    <s v="Message de lien expiré"/>
    <s v="Affichage"/>
    <x v="0"/>
    <n v="30"/>
    <n v="0"/>
    <n v="30"/>
    <n v="0"/>
  </r>
  <r>
    <s v="Frontoffice"/>
    <s v="Gestion Mot de passe"/>
    <s v="motDePasseService"/>
    <s v="activerCompte : vérifier le jeton"/>
    <s v="Metier"/>
    <x v="0"/>
    <n v="30"/>
    <n v="0"/>
    <n v="30"/>
    <n v="0"/>
  </r>
  <r>
    <s v="Frontoffice"/>
    <s v="Gestion Mot de passe"/>
    <s v="motDePasseService"/>
    <s v="activerCompte : enregistrer le mot de passe haché"/>
    <s v="Metier"/>
    <x v="0"/>
    <n v="30"/>
    <n v="0"/>
    <n v="30"/>
    <n v="0"/>
  </r>
  <r>
    <s v="Frontoffice"/>
    <s v="Gestion Mot de passe"/>
    <s v="motDePasseService"/>
    <s v="activerCompte : passer le compte au statut actif"/>
    <s v="Metier"/>
    <x v="0"/>
    <n v="30"/>
    <n v="0"/>
    <n v="30"/>
    <n v="0"/>
  </r>
  <r>
    <s v="Frontoffice"/>
    <s v="Gestion Mot de passe"/>
    <s v="reinitView"/>
    <s v="Formulaire de demande par e-mail"/>
    <s v="Affichage"/>
    <x v="0"/>
    <n v="30"/>
    <n v="0"/>
    <n v="30"/>
    <n v="0"/>
  </r>
  <r>
    <s v="Frontoffice"/>
    <s v="Gestion Mot de passe"/>
    <s v="reinitView"/>
    <s v="Message de confirmation"/>
    <s v="Affichage"/>
    <x v="0"/>
    <n v="30"/>
    <n v="0"/>
    <n v="30"/>
    <n v="0"/>
  </r>
  <r>
    <s v="Frontoffice"/>
    <s v="Gestion Mot de passe"/>
    <s v="motDePasseService"/>
    <s v="reinitialiserMotDePasse : générer le lien"/>
    <s v="Metier"/>
    <x v="0"/>
    <n v="30"/>
    <n v="0"/>
    <n v="30"/>
    <n v="0"/>
  </r>
  <r>
    <s v="Frontoffice"/>
    <s v="Gestion Mot de passe"/>
    <s v="motDePasseService"/>
    <s v="reinitialiserMotDePasse : enregistrer le nouveau mot de passe"/>
    <s v="Metier"/>
    <x v="0"/>
    <n v="30"/>
    <n v="0"/>
    <n v="30"/>
    <n v="0"/>
  </r>
  <r>
    <s v="Backoffice"/>
    <s v="Gestion Utilisateurs"/>
    <s v="usersListView"/>
    <s v="Tableau des utilisateurs"/>
    <s v="Affichage"/>
    <x v="0"/>
    <n v="30"/>
    <n v="0"/>
    <n v="30"/>
    <n v="0"/>
  </r>
  <r>
    <s v="Backoffice"/>
    <s v="Gestion Utilisateurs"/>
    <s v="usersListView"/>
    <s v="Badges de rôle et de statut"/>
    <s v="Affichage"/>
    <x v="0"/>
    <n v="30"/>
    <n v="0"/>
    <n v="30"/>
    <n v="0"/>
  </r>
  <r>
    <s v="Backoffice"/>
    <s v="Gestion Utilisateurs"/>
    <s v="usersListView"/>
    <s v="Recherche et filtre"/>
    <s v="Affichage"/>
    <x v="0"/>
    <n v="30"/>
    <n v="0"/>
    <n v="30"/>
    <n v="0"/>
  </r>
  <r>
    <s v="Backoffice"/>
    <s v="Gestion Utilisateurs"/>
    <s v="userService"/>
    <s v="getAll"/>
    <s v="Metier"/>
    <x v="0"/>
    <n v="30"/>
    <n v="0"/>
    <n v="30"/>
    <n v="0"/>
  </r>
  <r>
    <s v="Backoffice"/>
    <s v="Gestion Utilisateurs"/>
    <s v="userService"/>
    <s v="modifierRole"/>
    <s v="Metier"/>
    <x v="0"/>
    <n v="30"/>
    <n v="0"/>
    <n v="30"/>
    <n v="0"/>
  </r>
  <r>
    <s v="Backoffice"/>
    <s v="Gestion Utilisateurs"/>
    <s v="userService"/>
    <s v="modifierStatut (activer, désactiver)"/>
    <s v="Metier"/>
    <x v="0"/>
    <n v="30"/>
    <n v="0"/>
    <n v="30"/>
    <n v="0"/>
  </r>
  <r>
    <s v="Backoffice"/>
    <s v="Gestion Utilisateurs"/>
    <s v="userService"/>
    <s v="Endpoints réservés à l'administrateur"/>
    <s v="Metier"/>
    <x v="0"/>
    <n v="30"/>
    <n v="0"/>
    <n v="30"/>
    <n v="0"/>
  </r>
  <r>
    <s v="Backoffice"/>
    <s v="Gestion Utilisateurs"/>
    <s v="usersListView"/>
    <s v="Integration : charger la liste"/>
    <s v="Integration"/>
    <x v="0"/>
    <n v="30"/>
    <n v="0"/>
    <n v="30"/>
    <n v="0"/>
  </r>
  <r>
    <s v="Backoffice"/>
    <s v="Gestion Utilisateurs"/>
    <s v="usersListView"/>
    <s v="Integration : changer un rôle"/>
    <s v="Integration"/>
    <x v="0"/>
    <n v="30"/>
    <n v="0"/>
    <n v="30"/>
    <n v="0"/>
  </r>
  <r>
    <s v="Backoffice"/>
    <s v="Gestion Utilisateurs"/>
    <s v="usersListView"/>
    <s v="Integration : changer un statut"/>
    <s v="Integration"/>
    <x v="0"/>
    <n v="30"/>
    <n v="0"/>
    <n v="30"/>
    <n v="0"/>
  </r>
  <r>
    <s v="Frontoffice"/>
    <s v="Gestion Profil"/>
    <s v="profilView"/>
    <s v="Formulaire des informations"/>
    <s v="Affichage"/>
    <x v="0"/>
    <n v="30"/>
    <n v="0"/>
    <n v="30"/>
    <n v="0"/>
  </r>
  <r>
    <s v="Frontoffice"/>
    <s v="Gestion Profil"/>
    <s v="profilView"/>
    <s v="Formulaire de changement du mot de passe"/>
    <s v="Affichage"/>
    <x v="0"/>
    <n v="30"/>
    <n v="0"/>
    <n v="30"/>
    <n v="0"/>
  </r>
  <r>
    <s v="Frontoffice"/>
    <s v="Gestion Profil"/>
    <s v="profilService"/>
    <s v="modifierProfil"/>
    <s v="Metier"/>
    <x v="0"/>
    <n v="30"/>
    <n v="0"/>
    <n v="30"/>
    <n v="0"/>
  </r>
  <r>
    <s v="Frontoffice"/>
    <s v="Gestion Profil"/>
    <s v="profilService"/>
    <s v="changerMotDePasse (ancien mot de passe vérifié)"/>
    <s v="Metier"/>
    <x v="0"/>
    <n v="30"/>
    <n v="0"/>
    <n v="30"/>
    <n v="0"/>
  </r>
  <r>
    <s v="Frontoffice"/>
    <s v="Gestion Profil"/>
    <s v="profilService"/>
    <s v="Endpoints GET et PUT /profil"/>
    <s v="Metier"/>
    <x v="0"/>
    <n v="30"/>
    <n v="0"/>
    <n v="30"/>
    <n v="0"/>
  </r>
  <r>
    <s v="Frontoffice"/>
    <s v="Gestion Profil"/>
    <s v="profilView"/>
    <s v="Integration : charger et enregistrer le profil"/>
    <s v="Integration"/>
    <x v="0"/>
    <n v="30"/>
    <n v="0"/>
    <n v="30"/>
    <n v="0"/>
  </r>
  <r>
    <s v="Frontoffice"/>
    <s v="Gestion Recherche"/>
    <s v="rechercheService"/>
    <s v="Entité et DTO de recherche"/>
    <s v="Metier"/>
    <x v="0"/>
    <n v="30"/>
    <n v="0"/>
    <n v="30"/>
    <n v="0"/>
  </r>
  <r>
    <s v="Frontoffice"/>
    <s v="Gestion Recherche"/>
    <s v="rechercheService"/>
    <s v="Créer (privée par défaut, RG-01)"/>
    <s v="Metier"/>
    <x v="0"/>
    <n v="30"/>
    <n v="0"/>
    <n v="30"/>
    <n v="0"/>
  </r>
  <r>
    <s v="Frontoffice"/>
    <s v="Gestion Recherche"/>
    <s v="rechercheService"/>
    <s v="Modifier et supprimer"/>
    <s v="Metier"/>
    <x v="0"/>
    <n v="30"/>
    <n v="0"/>
    <n v="30"/>
    <n v="0"/>
  </r>
  <r>
    <s v="Frontoffice"/>
    <s v="Gestion Recherche"/>
    <s v="rechercheService"/>
    <s v="Lister et getById selon le propriétaire"/>
    <s v="Metier"/>
    <x v="0"/>
    <n v="30"/>
    <n v="0"/>
    <n v="30"/>
    <n v="0"/>
  </r>
  <r>
    <s v="Frontoffice"/>
    <s v="Gestion Recherche"/>
    <s v="rechercheListView"/>
    <s v="Liste à gauche"/>
    <s v="Affichage"/>
    <x v="0"/>
    <n v="30"/>
    <n v="0"/>
    <n v="30"/>
    <n v="0"/>
  </r>
  <r>
    <s v="Frontoffice"/>
    <s v="Gestion Recherche"/>
    <s v="rechercheListView"/>
    <s v="Panneau de détail à droite"/>
    <s v="Affichage"/>
    <x v="0"/>
    <n v="30"/>
    <n v="0"/>
    <n v="30"/>
    <n v="0"/>
  </r>
  <r>
    <s v="Frontoffice"/>
    <s v="Gestion Recherche"/>
    <s v="rechercheListView"/>
    <s v="Bouton « nouvelle recherche »"/>
    <s v="Affichage"/>
    <x v="0"/>
    <n v="15"/>
    <n v="0"/>
    <n v="15"/>
    <n v="0"/>
  </r>
  <r>
    <s v="Frontoffice"/>
    <s v="Gestion Recherche"/>
    <s v="rechercheListView"/>
    <s v="Recherche dans la liste"/>
    <s v="Affichage"/>
    <x v="0"/>
    <n v="15"/>
    <n v="0"/>
    <n v="15"/>
    <n v="0"/>
  </r>
  <r>
    <s v="Frontoffice"/>
    <s v="Gestion Recherche"/>
    <s v="rechercheListView"/>
    <s v="Message de liste vide"/>
    <s v="Affichage"/>
    <x v="0"/>
    <n v="15"/>
    <n v="0"/>
    <n v="15"/>
    <n v="0"/>
  </r>
  <r>
    <s v="Frontoffice"/>
    <s v="Gestion Recherche"/>
    <s v="rechercheListView"/>
    <s v="Style et affichage mobile"/>
    <s v="Affichage"/>
    <x v="0"/>
    <n v="15"/>
    <n v="0"/>
    <n v="15"/>
    <n v="0"/>
  </r>
  <r>
    <s v="Frontoffice"/>
    <s v="Gestion Recherche"/>
    <s v="rechercheFormView"/>
    <s v="Champs sujet, description et dates"/>
    <s v="Affichage"/>
    <x v="0"/>
    <n v="30"/>
    <n v="0"/>
    <n v="30"/>
    <n v="0"/>
  </r>
  <r>
    <s v="Frontoffice"/>
    <s v="Gestion Recherche"/>
    <s v="rechercheFormView"/>
    <s v="Choix de la confidentialité"/>
    <s v="Affichage"/>
    <x v="0"/>
    <n v="15"/>
    <n v="0"/>
    <n v="15"/>
    <n v="0"/>
  </r>
  <r>
    <s v="Frontoffice"/>
    <s v="Gestion Recherche"/>
    <s v="rechercheFormView"/>
    <s v="Note personnelle"/>
    <s v="Affichage"/>
    <x v="0"/>
    <n v="15"/>
    <n v="0"/>
    <n v="15"/>
    <n v="0"/>
  </r>
  <r>
    <s v="Frontoffice"/>
    <s v="Gestion Recherche"/>
    <s v="rechercheFormView"/>
    <s v="Validation du formulaire"/>
    <s v="Affichage"/>
    <x v="0"/>
    <n v="30"/>
    <n v="0"/>
    <n v="30"/>
    <n v="0"/>
  </r>
  <r>
    <s v="Frontoffice"/>
    <s v="Gestion Recherche"/>
    <s v="rechercheListView"/>
    <s v="Fenêtre de confirmation de suppression"/>
    <s v="Affichage"/>
    <x v="0"/>
    <n v="30"/>
    <n v="0"/>
    <n v="30"/>
    <n v="0"/>
  </r>
  <r>
    <s v="Frontoffice"/>
    <s v="Gestion Recherche"/>
    <s v="rechercheListView"/>
    <s v="Integration : charger la liste"/>
    <s v="Integration"/>
    <x v="0"/>
    <n v="15"/>
    <n v="0"/>
    <n v="15"/>
    <n v="0"/>
  </r>
  <r>
    <s v="Frontoffice"/>
    <s v="Gestion Recherche"/>
    <s v="rechercheListView"/>
    <s v="Integration : créer"/>
    <s v="Integration"/>
    <x v="0"/>
    <n v="15"/>
    <n v="0"/>
    <n v="15"/>
    <n v="0"/>
  </r>
  <r>
    <s v="Frontoffice"/>
    <s v="Gestion Recherche"/>
    <s v="rechercheListView"/>
    <s v="Integration : modifier"/>
    <s v="Integration"/>
    <x v="0"/>
    <n v="15"/>
    <n v="0"/>
    <n v="15"/>
    <n v="0"/>
  </r>
  <r>
    <s v="Frontoffice"/>
    <s v="Gestion Recherche"/>
    <s v="rechercheListView"/>
    <s v="Integration : supprimer"/>
    <s v="Integration"/>
    <x v="0"/>
    <n v="15"/>
    <n v="0"/>
    <n v="15"/>
    <n v="0"/>
  </r>
  <r>
    <s v="Frontoffice"/>
    <s v="Gestion Dataset"/>
    <s v="datasetService"/>
    <s v="Entité Dataset"/>
    <s v="Metier"/>
    <x v="0"/>
    <n v="30"/>
    <n v="0"/>
    <n v="30"/>
    <n v="0"/>
  </r>
  <r>
    <s v="Frontoffice"/>
    <s v="Gestion Dataset"/>
    <s v="datasetService"/>
    <s v="Créer (rattaché à une recherche)"/>
    <s v="Metier"/>
    <x v="0"/>
    <n v="30"/>
    <n v="0"/>
    <n v="30"/>
    <n v="0"/>
  </r>
  <r>
    <s v="Frontoffice"/>
    <s v="Gestion Dataset"/>
    <s v="datasetService"/>
    <s v="Modifier et supprimer"/>
    <s v="Metier"/>
    <x v="0"/>
    <n v="30"/>
    <n v="0"/>
    <n v="30"/>
    <n v="0"/>
  </r>
  <r>
    <s v="Frontoffice"/>
    <s v="Gestion Dataset"/>
    <s v="datasetService"/>
    <s v="Lister les datasets d'une recherche"/>
    <s v="Metier"/>
    <x v="0"/>
    <n v="30"/>
    <n v="0"/>
    <n v="30"/>
    <n v="0"/>
  </r>
  <r>
    <s v="Frontoffice"/>
    <s v="Gestion Dataset"/>
    <s v="datasetListView"/>
    <s v="Tableau des datasets"/>
    <s v="Affichage"/>
    <x v="0"/>
    <n v="30"/>
    <n v="0"/>
    <n v="30"/>
    <n v="0"/>
  </r>
  <r>
    <s v="Frontoffice"/>
    <s v="Gestion Dataset"/>
    <s v="datasetListView"/>
    <s v="Bouton ajouter"/>
    <s v="Affichage"/>
    <x v="0"/>
    <n v="15"/>
    <n v="0"/>
    <n v="15"/>
    <n v="0"/>
  </r>
  <r>
    <s v="Frontoffice"/>
    <s v="Gestion Dataset"/>
    <s v="datasetListView"/>
    <s v="Licence et titulaire des droits"/>
    <s v="Affichage"/>
    <x v="0"/>
    <n v="15"/>
    <n v="0"/>
    <n v="15"/>
    <n v="0"/>
  </r>
  <r>
    <s v="Frontoffice"/>
    <s v="Gestion Dataset"/>
    <s v="datasetListView"/>
    <s v="États vide et chargement"/>
    <s v="Affichage"/>
    <x v="0"/>
    <n v="30"/>
    <n v="0"/>
    <n v="30"/>
    <n v="0"/>
  </r>
  <r>
    <s v="Frontoffice"/>
    <s v="Gestion Dataset"/>
    <s v="datasetFormView"/>
    <s v="Champs nom, licence et titulaire"/>
    <s v="Affichage"/>
    <x v="0"/>
    <n v="30"/>
    <n v="0"/>
    <n v="30"/>
    <n v="0"/>
  </r>
  <r>
    <s v="Frontoffice"/>
    <s v="Gestion Dataset"/>
    <s v="datasetFormView"/>
    <s v="Validation"/>
    <s v="Affichage"/>
    <x v="0"/>
    <n v="30"/>
    <n v="0"/>
    <n v="30"/>
    <n v="0"/>
  </r>
  <r>
    <s v="Frontoffice"/>
    <s v="Gestion Dataset"/>
    <s v="datasetListView"/>
    <s v="Integration : charger et créer"/>
    <s v="Integration"/>
    <x v="0"/>
    <n v="15"/>
    <n v="0"/>
    <n v="15"/>
    <n v="0"/>
  </r>
  <r>
    <s v="Frontoffice"/>
    <s v="Gestion Dataset"/>
    <s v="datasetListView"/>
    <s v="Integration : modifier et supprimer"/>
    <s v="Integration"/>
    <x v="0"/>
    <n v="15"/>
    <n v="0"/>
    <n v="15"/>
    <n v="0"/>
  </r>
  <r>
    <s v="Frontoffice"/>
    <s v="Gestion Saisie"/>
    <s v="referentielService"/>
    <s v="Liste des pays"/>
    <s v="Metier"/>
    <x v="0"/>
    <n v="15"/>
    <n v="0"/>
    <n v="15"/>
    <n v="0"/>
  </r>
  <r>
    <s v="Frontoffice"/>
    <s v="Gestion Saisie"/>
    <s v="referentielService"/>
    <s v="Liste des provinces par pays"/>
    <s v="Metier"/>
    <x v="0"/>
    <n v="30"/>
    <n v="0"/>
    <n v="30"/>
    <n v="0"/>
  </r>
  <r>
    <s v="Frontoffice"/>
    <s v="Gestion Saisie"/>
    <s v="referentielService"/>
    <s v="Liste des rangs taxonomiques"/>
    <s v="Metier"/>
    <x v="0"/>
    <n v="15"/>
    <n v="0"/>
    <n v="15"/>
    <n v="0"/>
  </r>
  <r>
    <s v="Frontoffice"/>
    <s v="Gestion Saisie"/>
    <s v="referentielService"/>
    <s v="Recherche de taxon par nom"/>
    <s v="Metier"/>
    <x v="0"/>
    <n v="30"/>
    <n v="0"/>
    <n v="30"/>
    <n v="0"/>
  </r>
  <r>
    <s v="Frontoffice"/>
    <s v="Gestion Saisie"/>
    <s v="saisieService"/>
    <s v="DTO de saisie"/>
    <s v="Metier"/>
    <x v="0"/>
    <n v="30"/>
    <n v="0"/>
    <n v="30"/>
    <n v="0"/>
  </r>
  <r>
    <s v="Frontoffice"/>
    <s v="Gestion Saisie"/>
    <s v="saisieService"/>
    <s v="creerOccurrence : créer ou retrouver la Location"/>
    <s v="Metier"/>
    <x v="0"/>
    <n v="30"/>
    <n v="0"/>
    <n v="30"/>
    <n v="0"/>
  </r>
  <r>
    <s v="Frontoffice"/>
    <s v="Gestion Saisie"/>
    <s v="saisieService"/>
    <s v="creerOccurrence : créer l'Event (date, protocole)"/>
    <s v="Metier"/>
    <x v="0"/>
    <n v="30"/>
    <n v="0"/>
    <n v="30"/>
    <n v="0"/>
  </r>
  <r>
    <s v="Frontoffice"/>
    <s v="Gestion Saisie"/>
    <s v="saisieService"/>
    <s v="creerOccurrence : créer l'Organism"/>
    <s v="Metier"/>
    <x v="0"/>
    <n v="30"/>
    <n v="0"/>
    <n v="30"/>
    <n v="0"/>
  </r>
  <r>
    <s v="Frontoffice"/>
    <s v="Gestion Saisie"/>
    <s v="saisieService"/>
    <s v="creerOccurrence : créer ou retrouver le Taxon"/>
    <s v="Metier"/>
    <x v="0"/>
    <n v="30"/>
    <n v="0"/>
    <n v="30"/>
    <n v="0"/>
  </r>
  <r>
    <s v="Frontoffice"/>
    <s v="Gestion Saisie"/>
    <s v="saisieService"/>
    <s v="creerOccurrence : créer l'Occurrence (statut, effectif)"/>
    <s v="Metier"/>
    <x v="0"/>
    <n v="30"/>
    <n v="0"/>
    <n v="30"/>
    <n v="0"/>
  </r>
  <r>
    <s v="Frontoffice"/>
    <s v="Gestion Saisie"/>
    <s v="saisieService"/>
    <s v="creerOccurrence : transaction et test Swagger"/>
    <s v="Metier"/>
    <x v="0"/>
    <n v="30"/>
    <n v="0"/>
    <n v="30"/>
    <n v="0"/>
  </r>
  <r>
    <s v="Frontoffice"/>
    <s v="Gestion Saisie"/>
    <s v="saisieView"/>
    <s v="Section lieu (pays, province, localité)"/>
    <s v="Affichage"/>
    <x v="0"/>
    <n v="30"/>
    <n v="0"/>
    <n v="30"/>
    <n v="0"/>
  </r>
  <r>
    <s v="Frontoffice"/>
    <s v="Gestion Saisie"/>
    <s v="saisieView"/>
    <s v="Coordonnées GPS"/>
    <s v="Affichage"/>
    <x v="0"/>
    <n v="30"/>
    <n v="0"/>
    <n v="30"/>
    <n v="0"/>
  </r>
  <r>
    <s v="Frontoffice"/>
    <s v="Gestion Saisie"/>
    <s v="saisieView"/>
    <s v="Section date de l'événement"/>
    <s v="Affichage"/>
    <x v="0"/>
    <n v="15"/>
    <n v="0"/>
    <n v="15"/>
    <n v="0"/>
  </r>
  <r>
    <s v="Frontoffice"/>
    <s v="Gestion Saisie"/>
    <s v="saisieView"/>
    <s v="Section taxon (recherche)"/>
    <s v="Affichage"/>
    <x v="0"/>
    <n v="30"/>
    <n v="0"/>
    <n v="30"/>
    <n v="0"/>
  </r>
  <r>
    <s v="Frontoffice"/>
    <s v="Gestion Saisie"/>
    <s v="saisieView"/>
    <s v="Effectif et statut de l'occurrence"/>
    <s v="Affichage"/>
    <x v="0"/>
    <n v="15"/>
    <n v="0"/>
    <n v="15"/>
    <n v="0"/>
  </r>
  <r>
    <s v="Frontoffice"/>
    <s v="Gestion Saisie"/>
    <s v="saisieView"/>
    <s v="Boutons enregistrer et annuler"/>
    <s v="Affichage"/>
    <x v="0"/>
    <n v="15"/>
    <n v="0"/>
    <n v="15"/>
    <n v="0"/>
  </r>
  <r>
    <s v="Frontoffice"/>
    <s v="Gestion Saisie"/>
    <s v="saisieView"/>
    <s v="Disposition en étapes"/>
    <s v="Affichage"/>
    <x v="0"/>
    <n v="15"/>
    <n v="0"/>
    <n v="15"/>
    <n v="0"/>
  </r>
  <r>
    <s v="Frontoffice"/>
    <s v="Gestion Saisie"/>
    <s v="saisieView"/>
    <s v="Champs obligatoires"/>
    <s v="Affichage"/>
    <x v="0"/>
    <n v="30"/>
    <n v="0"/>
    <n v="30"/>
    <n v="0"/>
  </r>
  <r>
    <s v="Frontoffice"/>
    <s v="Gestion Saisie"/>
    <s v="saisieView"/>
    <s v="Validation des coordonnées"/>
    <s v="Affichage"/>
    <x v="0"/>
    <n v="30"/>
    <n v="0"/>
    <n v="30"/>
    <n v="0"/>
  </r>
  <r>
    <s v="Frontoffice"/>
    <s v="Gestion Saisie"/>
    <s v="saisieView"/>
    <s v="Validation de la date"/>
    <s v="Affichage"/>
    <x v="0"/>
    <n v="15"/>
    <n v="0"/>
    <n v="15"/>
    <n v="0"/>
  </r>
  <r>
    <s v="Frontoffice"/>
    <s v="Gestion Saisie"/>
    <s v="saisieView"/>
    <s v="Messages d'erreur sous les champs"/>
    <s v="Affichage"/>
    <x v="0"/>
    <n v="15"/>
    <n v="0"/>
    <n v="15"/>
    <n v="0"/>
  </r>
  <r>
    <s v="Frontoffice"/>
    <s v="Gestion Saisie"/>
    <s v="saisieView"/>
    <s v="Integration : charger les listes de référence"/>
    <s v="Integration"/>
    <x v="0"/>
    <n v="30"/>
    <n v="0"/>
    <n v="30"/>
    <n v="0"/>
  </r>
  <r>
    <s v="Frontoffice"/>
    <s v="Gestion Saisie"/>
    <s v="saisieView"/>
    <s v="Integration : envoyer la saisie"/>
    <s v="Integration"/>
    <x v="0"/>
    <n v="30"/>
    <n v="0"/>
    <n v="30"/>
    <n v="0"/>
  </r>
  <r>
    <s v="Frontoffice"/>
    <s v="Gestion Saisie"/>
    <s v="mesureService"/>
    <s v="Types de mesure"/>
    <s v="Metier"/>
    <x v="0"/>
    <n v="15"/>
    <n v="0"/>
    <n v="15"/>
    <n v="0"/>
  </r>
  <r>
    <s v="Frontoffice"/>
    <s v="Gestion Saisie"/>
    <s v="mesureService"/>
    <s v="Unités de mesure"/>
    <s v="Metier"/>
    <x v="0"/>
    <n v="15"/>
    <n v="0"/>
    <n v="15"/>
    <n v="0"/>
  </r>
  <r>
    <s v="Frontoffice"/>
    <s v="Gestion Saisie"/>
    <s v="mesureService"/>
    <s v="Enregistrer une mesure"/>
    <s v="Metier"/>
    <x v="0"/>
    <n v="30"/>
    <n v="0"/>
    <n v="30"/>
    <n v="0"/>
  </r>
  <r>
    <s v="Frontoffice"/>
    <s v="Gestion Saisie"/>
    <s v="mesureService"/>
    <s v="Mesure liée à une autre (auto-référence)"/>
    <s v="Metier"/>
    <x v="0"/>
    <n v="30"/>
    <n v="0"/>
    <n v="30"/>
    <n v="0"/>
  </r>
  <r>
    <s v="Frontoffice"/>
    <s v="Gestion Saisie"/>
    <s v="mesureService"/>
    <s v="Endpoint des mesures"/>
    <s v="Metier"/>
    <x v="0"/>
    <n v="30"/>
    <n v="0"/>
    <n v="30"/>
    <n v="0"/>
  </r>
  <r>
    <s v="Frontoffice"/>
    <s v="Gestion Saisie"/>
    <s v="identificationService"/>
    <s v="Enregistrer l'identification"/>
    <s v="Metier"/>
    <x v="0"/>
    <n v="30"/>
    <n v="0"/>
    <n v="30"/>
    <n v="0"/>
  </r>
  <r>
    <s v="Frontoffice"/>
    <s v="Gestion Saisie"/>
    <s v="identificationService"/>
    <s v="Marquer l'identification acceptée"/>
    <s v="Metier"/>
    <x v="0"/>
    <n v="30"/>
    <n v="0"/>
    <n v="30"/>
    <n v="0"/>
  </r>
  <r>
    <s v="Frontoffice"/>
    <s v="Gestion Saisie"/>
    <s v="saisieView"/>
    <s v="Bloc mesures (ajout et suppression de lignes)"/>
    <s v="Affichage"/>
    <x v="0"/>
    <n v="30"/>
    <n v="0"/>
    <n v="30"/>
    <n v="0"/>
  </r>
  <r>
    <s v="Frontoffice"/>
    <s v="Gestion Saisie"/>
    <s v="saisieView"/>
    <s v="Bloc identification"/>
    <s v="Affichage"/>
    <x v="0"/>
    <n v="30"/>
    <n v="0"/>
    <n v="30"/>
    <n v="0"/>
  </r>
  <r>
    <s v="Frontoffice"/>
    <s v="Gestion Saisie"/>
    <s v="saisieView"/>
    <s v="Qualificatif et date d'identification"/>
    <s v="Affichage"/>
    <x v="0"/>
    <n v="30"/>
    <n v="0"/>
    <n v="30"/>
    <n v="0"/>
  </r>
  <r>
    <s v="Frontoffice"/>
    <s v="Gestion Saisie"/>
    <s v="saisieView"/>
    <s v="Integration : envoyer mesures et identification"/>
    <s v="Integration"/>
    <x v="0"/>
    <n v="30"/>
    <n v="0"/>
    <n v="30"/>
    <n v="0"/>
  </r>
  <r>
    <s v="Frontoffice"/>
    <s v="Gestion Saisie"/>
    <s v="occurrenceListView"/>
    <s v="Tableau des occurrences"/>
    <s v="Affichage"/>
    <x v="0"/>
    <n v="30"/>
    <n v="0"/>
    <n v="30"/>
    <n v="0"/>
  </r>
  <r>
    <s v="Frontoffice"/>
    <s v="Gestion Saisie"/>
    <s v="occurrenceListView"/>
    <s v="Filtres"/>
    <s v="Affichage"/>
    <x v="0"/>
    <n v="30"/>
    <n v="0"/>
    <n v="30"/>
    <n v="0"/>
  </r>
  <r>
    <s v="Frontoffice"/>
    <s v="Gestion Saisie"/>
    <s v="occurrenceListView"/>
    <s v="Page de détail"/>
    <s v="Affichage"/>
    <x v="0"/>
    <n v="30"/>
    <n v="0"/>
    <n v="30"/>
    <n v="0"/>
  </r>
  <r>
    <s v="Frontoffice"/>
    <s v="Gestion Saisie"/>
    <s v="saisieService"/>
    <s v="modifierOccurrence : charger l'occurrence"/>
    <s v="Metier"/>
    <x v="0"/>
    <n v="30"/>
    <n v="0"/>
    <n v="30"/>
    <n v="0"/>
  </r>
  <r>
    <s v="Frontoffice"/>
    <s v="Gestion Saisie"/>
    <s v="saisieService"/>
    <s v="modifierOccurrence : mettre à jour les tables liées"/>
    <s v="Metier"/>
    <x v="0"/>
    <n v="30"/>
    <n v="0"/>
    <n v="30"/>
    <n v="0"/>
  </r>
  <r>
    <s v="Frontoffice"/>
    <s v="Gestion Saisie"/>
    <s v="saisieService"/>
    <s v="modifierOccurrence : droits de modification"/>
    <s v="Metier"/>
    <x v="0"/>
    <n v="30"/>
    <n v="0"/>
    <n v="30"/>
    <n v="0"/>
  </r>
  <r>
    <s v="Frontoffice"/>
    <s v="Gestion Saisie"/>
    <s v="occurrenceListView"/>
    <s v="Integration : charger la liste"/>
    <s v="Integration"/>
    <x v="0"/>
    <n v="30"/>
    <n v="0"/>
    <n v="30"/>
    <n v="0"/>
  </r>
  <r>
    <s v="Frontoffice"/>
    <s v="Gestion Saisie"/>
    <s v="occurrenceListView"/>
    <s v="Integration : enregistrer une modification"/>
    <s v="Integration"/>
    <x v="0"/>
    <n v="30"/>
    <n v="0"/>
    <n v="30"/>
    <n v="0"/>
  </r>
  <r>
    <s v="Frontoffice"/>
    <s v="Gestion Saisie"/>
    <s v="demoIteration1"/>
    <s v="Tester le parcours complet"/>
    <s v="Test"/>
    <x v="0"/>
    <n v="30"/>
    <n v="0"/>
    <n v="30"/>
    <n v="0"/>
  </r>
  <r>
    <s v="Frontoffice"/>
    <s v="Gestion Saisie"/>
    <s v="demoIteration1"/>
    <s v="Préparer la démonstration"/>
    <s v="Gestion"/>
    <x v="0"/>
    <n v="15"/>
    <n v="0"/>
    <n v="15"/>
    <n v="0"/>
  </r>
  <r>
    <s v="Frontoffice"/>
    <s v="Gestion Saisie"/>
    <s v="demoIteration1"/>
    <s v="Démonstration à l'encadrant (itération 1)"/>
    <s v="Gestion"/>
    <x v="0"/>
    <n v="15"/>
    <n v="0"/>
    <n v="15"/>
    <n v="0"/>
  </r>
  <r>
    <s v="Frontoffice"/>
    <s v="Gestion Import"/>
    <s v="etlLecture"/>
    <s v="Choisir le format de fichier cible"/>
    <s v="Metier"/>
    <x v="0"/>
    <n v="30"/>
    <n v="0"/>
    <n v="30"/>
    <n v="0"/>
  </r>
  <r>
    <s v="Frontoffice"/>
    <s v="Gestion Import"/>
    <s v="etlLecture"/>
    <s v="Lecture Excel (pandas)"/>
    <s v="Metier"/>
    <x v="0"/>
    <n v="30"/>
    <n v="0"/>
    <n v="30"/>
    <n v="0"/>
  </r>
  <r>
    <s v="Frontoffice"/>
    <s v="Gestion Import"/>
    <s v="etlLecture"/>
    <s v="Lecture CSV (encodage, séparateur)"/>
    <s v="Metier"/>
    <x v="0"/>
    <n v="30"/>
    <n v="0"/>
    <n v="30"/>
    <n v="0"/>
  </r>
  <r>
    <s v="Frontoffice"/>
    <s v="Gestion Import"/>
    <s v="etlLecture"/>
    <s v="Détection des colonnes"/>
    <s v="Metier"/>
    <x v="0"/>
    <n v="30"/>
    <n v="0"/>
    <n v="30"/>
    <n v="0"/>
  </r>
  <r>
    <s v="Frontoffice"/>
    <s v="Gestion Import"/>
    <s v="etlMapping"/>
    <s v="Tableau colonnes vers tables"/>
    <s v="Metier"/>
    <x v="0"/>
    <n v="30"/>
    <n v="0"/>
    <n v="30"/>
    <n v="0"/>
  </r>
  <r>
    <s v="Frontoffice"/>
    <s v="Gestion Import"/>
    <s v="etlMapping"/>
    <s v="Colonnes de Event et Location"/>
    <s v="Metier"/>
    <x v="0"/>
    <n v="30"/>
    <n v="0"/>
    <n v="30"/>
    <n v="0"/>
  </r>
  <r>
    <s v="Frontoffice"/>
    <s v="Gestion Import"/>
    <s v="etlMapping"/>
    <s v="Colonnes de Occurrence et Taxon"/>
    <s v="Metier"/>
    <x v="0"/>
    <n v="30"/>
    <n v="0"/>
    <n v="30"/>
    <n v="0"/>
  </r>
  <r>
    <s v="Frontoffice"/>
    <s v="Gestion Import"/>
    <s v="etlNettoyage"/>
    <s v="Espaces et casse"/>
    <s v="Metier"/>
    <x v="0"/>
    <n v="30"/>
    <n v="0"/>
    <n v="30"/>
    <n v="0"/>
  </r>
  <r>
    <s v="Frontoffice"/>
    <s v="Gestion Import"/>
    <s v="etlNettoyage"/>
    <s v="Format des dates"/>
    <s v="Metier"/>
    <x v="0"/>
    <n v="30"/>
    <n v="0"/>
    <n v="30"/>
    <n v="0"/>
  </r>
  <r>
    <s v="Frontoffice"/>
    <s v="Gestion Import"/>
    <s v="etlNettoyage"/>
    <s v="Coordonnées et décimales"/>
    <s v="Metier"/>
    <x v="0"/>
    <n v="30"/>
    <n v="0"/>
    <n v="30"/>
    <n v="0"/>
  </r>
  <r>
    <s v="Frontoffice"/>
    <s v="Gestion Import"/>
    <s v="etlValidation"/>
    <s v="Champs obligatoires"/>
    <s v="Metier"/>
    <x v="0"/>
    <n v="30"/>
    <n v="0"/>
    <n v="30"/>
    <n v="0"/>
  </r>
  <r>
    <s v="Frontoffice"/>
    <s v="Gestion Import"/>
    <s v="etlValidation"/>
    <s v="Types de données"/>
    <s v="Metier"/>
    <x v="0"/>
    <n v="30"/>
    <n v="0"/>
    <n v="30"/>
    <n v="0"/>
  </r>
  <r>
    <s v="Frontoffice"/>
    <s v="Gestion Import"/>
    <s v="etlValidation"/>
    <s v="Dates valides"/>
    <s v="Metier"/>
    <x v="0"/>
    <n v="30"/>
    <n v="0"/>
    <n v="30"/>
    <n v="0"/>
  </r>
  <r>
    <s v="Frontoffice"/>
    <s v="Gestion Import"/>
    <s v="etlValidation"/>
    <s v="Coordonnées dans les limites"/>
    <s v="Metier"/>
    <x v="0"/>
    <n v="30"/>
    <n v="0"/>
    <n v="30"/>
    <n v="0"/>
  </r>
  <r>
    <s v="Frontoffice"/>
    <s v="Gestion Import"/>
    <s v="etlValidation"/>
    <s v="Valeurs autorisées (listes)"/>
    <s v="Metier"/>
    <x v="0"/>
    <n v="30"/>
    <n v="0"/>
    <n v="30"/>
    <n v="0"/>
  </r>
  <r>
    <s v="Frontoffice"/>
    <s v="Gestion Import"/>
    <s v="etlRapport"/>
    <s v="Structure du rapport (ligne, colonne, problème)"/>
    <s v="Metier"/>
    <x v="0"/>
    <n v="30"/>
    <n v="0"/>
    <n v="30"/>
    <n v="0"/>
  </r>
  <r>
    <s v="Frontoffice"/>
    <s v="Gestion Import"/>
    <s v="etlRapport"/>
    <s v="Collecter les erreurs"/>
    <s v="Metier"/>
    <x v="0"/>
    <n v="30"/>
    <n v="0"/>
    <n v="30"/>
    <n v="0"/>
  </r>
  <r>
    <s v="Frontoffice"/>
    <s v="Gestion Import"/>
    <s v="etlRapport"/>
    <s v="Niveaux (erreur, avertissement)"/>
    <s v="Metier"/>
    <x v="0"/>
    <n v="30"/>
    <n v="0"/>
    <n v="30"/>
    <n v="0"/>
  </r>
  <r>
    <s v="Frontoffice"/>
    <s v="Gestion Import"/>
    <s v="etlRapport"/>
    <s v="Export du rapport en CSV"/>
    <s v="Metier"/>
    <x v="0"/>
    <n v="30"/>
    <n v="0"/>
    <n v="30"/>
    <n v="0"/>
  </r>
  <r>
    <s v="Frontoffice"/>
    <s v="Gestion Import"/>
    <s v="etlRapport"/>
    <s v="Tests du rapport"/>
    <s v="Metier"/>
    <x v="0"/>
    <n v="30"/>
    <n v="0"/>
    <n v="30"/>
    <n v="0"/>
  </r>
  <r>
    <s v="Frontoffice"/>
    <s v="Gestion Import"/>
    <s v="etlDedoublonnage"/>
    <s v="Définir la clé d'unicité"/>
    <s v="Metier"/>
    <x v="0"/>
    <n v="30"/>
    <n v="0"/>
    <n v="30"/>
    <n v="0"/>
  </r>
  <r>
    <s v="Frontoffice"/>
    <s v="Gestion Import"/>
    <s v="etlDedoublonnage"/>
    <s v="Doublons dans le fichier"/>
    <s v="Metier"/>
    <x v="0"/>
    <n v="30"/>
    <n v="0"/>
    <n v="30"/>
    <n v="0"/>
  </r>
  <r>
    <s v="Frontoffice"/>
    <s v="Gestion Import"/>
    <s v="etlDedoublonnage"/>
    <s v="Doublons avec la base"/>
    <s v="Metier"/>
    <x v="0"/>
    <n v="30"/>
    <n v="0"/>
    <n v="30"/>
    <n v="0"/>
  </r>
  <r>
    <s v="Frontoffice"/>
    <s v="Gestion Import"/>
    <s v="etlDedoublonnage"/>
    <s v="Choix : ignorer ou mettre à jour"/>
    <s v="Metier"/>
    <x v="0"/>
    <n v="30"/>
    <n v="0"/>
    <n v="30"/>
    <n v="0"/>
  </r>
  <r>
    <s v="Frontoffice"/>
    <s v="Gestion Import"/>
    <s v="etlDedoublonnage"/>
    <s v="Tests du dédoublonnage"/>
    <s v="Metier"/>
    <x v="0"/>
    <n v="30"/>
    <n v="0"/>
    <n v="30"/>
    <n v="0"/>
  </r>
  <r>
    <s v="Frontoffice"/>
    <s v="Gestion Import"/>
    <s v="etlChargement"/>
    <s v="Transaction globale"/>
    <s v="Metier"/>
    <x v="0"/>
    <n v="30"/>
    <n v="0"/>
    <n v="30"/>
    <n v="0"/>
  </r>
  <r>
    <s v="Frontoffice"/>
    <s v="Gestion Import"/>
    <s v="etlChargement"/>
    <s v="Insertion par lots"/>
    <s v="Metier"/>
    <x v="0"/>
    <n v="30"/>
    <n v="0"/>
    <n v="30"/>
    <n v="0"/>
  </r>
  <r>
    <s v="Frontoffice"/>
    <s v="Gestion Import"/>
    <s v="etlChargement"/>
    <s v="Annulation en cas d'erreur"/>
    <s v="Metier"/>
    <x v="0"/>
    <n v="30"/>
    <n v="0"/>
    <n v="30"/>
    <n v="0"/>
  </r>
  <r>
    <s v="Frontoffice"/>
    <s v="Gestion Import"/>
    <s v="etlTests"/>
    <s v="Tester avec un fichier propre"/>
    <s v="Test"/>
    <x v="0"/>
    <n v="30"/>
    <n v="0"/>
    <n v="30"/>
    <n v="0"/>
  </r>
  <r>
    <s v="Frontoffice"/>
    <s v="Gestion Import"/>
    <s v="etlTests"/>
    <s v="Vérifier les données en base"/>
    <s v="Test"/>
    <x v="0"/>
    <n v="30"/>
    <n v="0"/>
    <n v="30"/>
    <n v="0"/>
  </r>
  <r>
    <s v="Frontoffice"/>
    <s v="Gestion Import"/>
    <s v="importService"/>
    <s v="Endpoint d'envoi du fichier"/>
    <s v="Metier"/>
    <x v="0"/>
    <n v="30"/>
    <n v="0"/>
    <n v="30"/>
    <n v="0"/>
  </r>
  <r>
    <s v="Frontoffice"/>
    <s v="Gestion Import"/>
    <s v="importService"/>
    <s v="Contrôle du type et de la taille"/>
    <s v="Metier"/>
    <x v="0"/>
    <n v="30"/>
    <n v="0"/>
    <n v="30"/>
    <n v="0"/>
  </r>
  <r>
    <s v="Frontoffice"/>
    <s v="Gestion Import"/>
    <s v="importService"/>
    <s v="Appel du module Python"/>
    <s v="Metier"/>
    <x v="0"/>
    <n v="30"/>
    <n v="0"/>
    <n v="30"/>
    <n v="0"/>
  </r>
  <r>
    <s v="Frontoffice"/>
    <s v="Gestion Import"/>
    <s v="importService"/>
    <s v="Récupération du résultat"/>
    <s v="Metier"/>
    <x v="0"/>
    <n v="30"/>
    <n v="0"/>
    <n v="30"/>
    <n v="0"/>
  </r>
  <r>
    <s v="Frontoffice"/>
    <s v="Gestion Import"/>
    <s v="importService"/>
    <s v="Client MinIO"/>
    <s v="Metier"/>
    <x v="0"/>
    <n v="30"/>
    <n v="0"/>
    <n v="30"/>
    <n v="0"/>
  </r>
  <r>
    <s v="Frontoffice"/>
    <s v="Gestion Import"/>
    <s v="importService"/>
    <s v="Enregistrer le fichier source"/>
    <s v="Metier"/>
    <x v="0"/>
    <n v="30"/>
    <n v="0"/>
    <n v="30"/>
    <n v="0"/>
  </r>
  <r>
    <s v="Frontoffice"/>
    <s v="Gestion Import"/>
    <s v="importView"/>
    <s v="Zone de dépôt du fichier"/>
    <s v="Affichage"/>
    <x v="0"/>
    <n v="30"/>
    <n v="0"/>
    <n v="30"/>
    <n v="0"/>
  </r>
  <r>
    <s v="Frontoffice"/>
    <s v="Gestion Import"/>
    <s v="importView"/>
    <s v="Barre de progression et statut"/>
    <s v="Affichage"/>
    <x v="0"/>
    <n v="30"/>
    <n v="0"/>
    <n v="30"/>
    <n v="0"/>
  </r>
  <r>
    <s v="Frontoffice"/>
    <s v="Gestion Import"/>
    <s v="importView"/>
    <s v="Tableau des erreurs"/>
    <s v="Affichage"/>
    <x v="0"/>
    <n v="30"/>
    <n v="0"/>
    <n v="30"/>
    <n v="0"/>
  </r>
  <r>
    <s v="Frontoffice"/>
    <s v="Gestion Import"/>
    <s v="importView"/>
    <s v="Résumé (lignes importées et rejetées)"/>
    <s v="Affichage"/>
    <x v="0"/>
    <n v="30"/>
    <n v="0"/>
    <n v="30"/>
    <n v="0"/>
  </r>
  <r>
    <s v="Frontoffice"/>
    <s v="Gestion Import"/>
    <s v="importView"/>
    <s v="Integration : envoi du fichier et lecture du rapport"/>
    <s v="Integration"/>
    <x v="0"/>
    <n v="30"/>
    <n v="0"/>
    <n v="30"/>
    <n v="0"/>
  </r>
  <r>
    <s v="Frontoffice"/>
    <s v="Gestion Import"/>
    <s v="importTests"/>
    <s v="Colonnes manquantes"/>
    <s v="Test"/>
    <x v="0"/>
    <n v="30"/>
    <n v="0"/>
    <n v="30"/>
    <n v="0"/>
  </r>
  <r>
    <s v="Frontoffice"/>
    <s v="Gestion Import"/>
    <s v="importTests"/>
    <s v="Doublons"/>
    <s v="Test"/>
    <x v="0"/>
    <n v="30"/>
    <n v="0"/>
    <n v="30"/>
    <n v="0"/>
  </r>
  <r>
    <s v="Frontoffice"/>
    <s v="Gestion Import"/>
    <s v="importTests"/>
    <s v="Dates mal formatées"/>
    <s v="Test"/>
    <x v="0"/>
    <n v="30"/>
    <n v="0"/>
    <n v="30"/>
    <n v="0"/>
  </r>
  <r>
    <s v="Frontoffice"/>
    <s v="Gestion Import"/>
    <s v="importTests"/>
    <s v="Caractères spéciaux"/>
    <s v="Test"/>
    <x v="0"/>
    <n v="30"/>
    <n v="0"/>
    <n v="30"/>
    <n v="0"/>
  </r>
  <r>
    <s v="Frontoffice"/>
    <s v="Gestion Export"/>
    <s v="exportService"/>
    <s v="Requête des données à exporter"/>
    <s v="Metier"/>
    <x v="0"/>
    <n v="30"/>
    <n v="0"/>
    <n v="30"/>
    <n v="0"/>
  </r>
  <r>
    <s v="Frontoffice"/>
    <s v="Gestion Export"/>
    <s v="exportService"/>
    <s v="Génération du CSV"/>
    <s v="Metier"/>
    <x v="0"/>
    <n v="30"/>
    <n v="0"/>
    <n v="30"/>
    <n v="0"/>
  </r>
  <r>
    <s v="Frontoffice"/>
    <s v="Gestion Export"/>
    <s v="exportService"/>
    <s v="Endpoint de téléchargement"/>
    <s v="Metier"/>
    <x v="0"/>
    <n v="30"/>
    <n v="0"/>
    <n v="30"/>
    <n v="0"/>
  </r>
  <r>
    <s v="Frontoffice"/>
    <s v="Gestion Export"/>
    <s v="exportView"/>
    <s v="Bouton d'export"/>
    <s v="Affichage"/>
    <x v="0"/>
    <n v="30"/>
    <n v="0"/>
    <n v="30"/>
    <n v="0"/>
  </r>
  <r>
    <s v="Frontoffice"/>
    <s v="Gestion Export"/>
    <s v="exportView"/>
    <s v="Integration : télécharger le fichier"/>
    <s v="Integration"/>
    <x v="0"/>
    <n v="30"/>
    <n v="0"/>
    <n v="30"/>
    <n v="0"/>
  </r>
  <r>
    <s v="Frontoffice"/>
    <s v="Gestion Attributs"/>
    <s v="attributService"/>
    <s v="Entité Attribut (nom, clé, type)"/>
    <s v="Metier"/>
    <x v="0"/>
    <n v="30"/>
    <n v="0"/>
    <n v="30"/>
    <n v="0"/>
  </r>
  <r>
    <s v="Frontoffice"/>
    <s v="Gestion Attributs"/>
    <s v="attributService"/>
    <s v="Créer (nom et clé uniques)"/>
    <s v="Metier"/>
    <x v="0"/>
    <n v="30"/>
    <n v="0"/>
    <n v="30"/>
    <n v="0"/>
  </r>
  <r>
    <s v="Frontoffice"/>
    <s v="Gestion Attributs"/>
    <s v="attributService"/>
    <s v="Modifier et supprimer"/>
    <s v="Metier"/>
    <x v="0"/>
    <n v="30"/>
    <n v="0"/>
    <n v="30"/>
    <n v="0"/>
  </r>
  <r>
    <s v="Frontoffice"/>
    <s v="Gestion Attributs"/>
    <s v="attributService"/>
    <s v="Lister"/>
    <s v="Metier"/>
    <x v="0"/>
    <n v="30"/>
    <n v="0"/>
    <n v="30"/>
    <n v="0"/>
  </r>
  <r>
    <s v="Frontoffice"/>
    <s v="Gestion Attributs"/>
    <s v="attributListView"/>
    <s v="Tableau du catalogue"/>
    <s v="Affichage"/>
    <x v="0"/>
    <n v="30"/>
    <n v="0"/>
    <n v="30"/>
    <n v="0"/>
  </r>
  <r>
    <s v="Frontoffice"/>
    <s v="Gestion Attributs"/>
    <s v="attributListView"/>
    <s v="Recherche d'un attribut"/>
    <s v="Affichage"/>
    <x v="0"/>
    <n v="30"/>
    <n v="0"/>
    <n v="30"/>
    <n v="0"/>
  </r>
  <r>
    <s v="Frontoffice"/>
    <s v="Gestion Attributs"/>
    <s v="attributListView"/>
    <s v="Badge du type de donnée"/>
    <s v="Affichage"/>
    <x v="0"/>
    <n v="30"/>
    <n v="0"/>
    <n v="30"/>
    <n v="0"/>
  </r>
  <r>
    <s v="Frontoffice"/>
    <s v="Gestion Attributs"/>
    <s v="attributFormView"/>
    <s v="Champs nom, clé et type"/>
    <s v="Affichage"/>
    <x v="0"/>
    <n v="30"/>
    <n v="0"/>
    <n v="30"/>
    <n v="0"/>
  </r>
  <r>
    <s v="Frontoffice"/>
    <s v="Gestion Attributs"/>
    <s v="attributFormView"/>
    <s v="Validation d'unicité"/>
    <s v="Affichage"/>
    <x v="0"/>
    <n v="30"/>
    <n v="0"/>
    <n v="30"/>
    <n v="0"/>
  </r>
  <r>
    <s v="Frontoffice"/>
    <s v="Gestion Attributs"/>
    <s v="attributListView"/>
    <s v="Integration : charger et enregistrer les attributs"/>
    <s v="Integration"/>
    <x v="0"/>
    <n v="30"/>
    <n v="0"/>
    <n v="30"/>
    <n v="0"/>
  </r>
  <r>
    <s v="Frontoffice"/>
    <s v="Gestion Tableaux personnalises"/>
    <s v="tableauService"/>
    <s v="Entité tableau_personnalise"/>
    <s v="Metier"/>
    <x v="0"/>
    <n v="30"/>
    <n v="0"/>
    <n v="30"/>
    <n v="0"/>
  </r>
  <r>
    <s v="Frontoffice"/>
    <s v="Gestion Tableaux personnalises"/>
    <s v="tableauService"/>
    <s v="Créer le tableau rattaché à un dataset"/>
    <s v="Metier"/>
    <x v="0"/>
    <n v="30"/>
    <n v="0"/>
    <n v="30"/>
    <n v="0"/>
  </r>
  <r>
    <s v="Frontoffice"/>
    <s v="Gestion Tableaux personnalises"/>
    <s v="tableauService"/>
    <s v="Associer les attributs choisis"/>
    <s v="Metier"/>
    <x v="0"/>
    <n v="30"/>
    <n v="0"/>
    <n v="30"/>
    <n v="0"/>
  </r>
  <r>
    <s v="Frontoffice"/>
    <s v="Gestion Tableaux personnalises"/>
    <s v="tableauService"/>
    <s v="Lister les tableaux"/>
    <s v="Metier"/>
    <x v="0"/>
    <n v="30"/>
    <n v="0"/>
    <n v="30"/>
    <n v="0"/>
  </r>
  <r>
    <s v="Frontoffice"/>
    <s v="Gestion Tableaux personnalises"/>
    <s v="tableauService"/>
    <s v="Supprimer un tableau"/>
    <s v="Metier"/>
    <x v="0"/>
    <n v="30"/>
    <n v="0"/>
    <n v="30"/>
    <n v="0"/>
  </r>
  <r>
    <s v="Frontoffice"/>
    <s v="Gestion Tableaux personnalises"/>
    <s v="tableauCreationView"/>
    <s v="Champ nom du tableau"/>
    <s v="Affichage"/>
    <x v="0"/>
    <n v="15"/>
    <n v="0"/>
    <n v="15"/>
    <n v="0"/>
  </r>
  <r>
    <s v="Frontoffice"/>
    <s v="Gestion Tableaux personnalises"/>
    <s v="tableauCreationView"/>
    <s v="Choix du dataset"/>
    <s v="Affichage"/>
    <x v="0"/>
    <n v="15"/>
    <n v="0"/>
    <n v="15"/>
    <n v="0"/>
  </r>
  <r>
    <s v="Frontoffice"/>
    <s v="Gestion Tableaux personnalises"/>
    <s v="tableauCreationView"/>
    <s v="Sélection des attributs du catalogue"/>
    <s v="Affichage"/>
    <x v="0"/>
    <n v="45"/>
    <n v="0"/>
    <n v="45"/>
    <n v="0"/>
  </r>
  <r>
    <s v="Frontoffice"/>
    <s v="Gestion Tableaux personnalises"/>
    <s v="tableauCreationView"/>
    <s v="Ordre des colonnes"/>
    <s v="Affichage"/>
    <x v="0"/>
    <n v="30"/>
    <n v="0"/>
    <n v="30"/>
    <n v="0"/>
  </r>
  <r>
    <s v="Frontoffice"/>
    <s v="Gestion Tableaux personnalises"/>
    <s v="tableauCreationView"/>
    <s v="Aperçu du tableau"/>
    <s v="Affichage"/>
    <x v="0"/>
    <n v="15"/>
    <n v="0"/>
    <n v="15"/>
    <n v="0"/>
  </r>
  <r>
    <s v="Frontoffice"/>
    <s v="Gestion Tableaux personnalises"/>
    <s v="tableauCreationView"/>
    <s v="Integration : créer un tableau"/>
    <s v="Integration"/>
    <x v="0"/>
    <n v="30"/>
    <n v="0"/>
    <n v="30"/>
    <n v="0"/>
  </r>
  <r>
    <s v="Frontoffice"/>
    <s v="Gestion Tableaux personnalises"/>
    <s v="ligneService"/>
    <s v="Entité ligne"/>
    <s v="Metier"/>
    <x v="0"/>
    <n v="30"/>
    <n v="0"/>
    <n v="30"/>
    <n v="0"/>
  </r>
  <r>
    <s v="Frontoffice"/>
    <s v="Gestion Tableaux personnalises"/>
    <s v="ligneService"/>
    <s v="Valeur texte"/>
    <s v="Metier"/>
    <x v="0"/>
    <n v="30"/>
    <n v="0"/>
    <n v="30"/>
    <n v="0"/>
  </r>
  <r>
    <s v="Frontoffice"/>
    <s v="Gestion Tableaux personnalises"/>
    <s v="ligneService"/>
    <s v="Valeur nombre"/>
    <s v="Metier"/>
    <x v="0"/>
    <n v="30"/>
    <n v="0"/>
    <n v="30"/>
    <n v="0"/>
  </r>
  <r>
    <s v="Frontoffice"/>
    <s v="Gestion Tableaux personnalises"/>
    <s v="ligneService"/>
    <s v="Valeur booléen et date"/>
    <s v="Metier"/>
    <x v="0"/>
    <n v="30"/>
    <n v="0"/>
    <n v="30"/>
    <n v="0"/>
  </r>
  <r>
    <s v="Frontoffice"/>
    <s v="Gestion Tableaux personnalises"/>
    <s v="ligneService"/>
    <s v="Contrôle du type à l'enregistrement"/>
    <s v="Metier"/>
    <x v="0"/>
    <n v="30"/>
    <n v="0"/>
    <n v="30"/>
    <n v="0"/>
  </r>
  <r>
    <s v="Frontoffice"/>
    <s v="Gestion Tableaux personnalises"/>
    <s v="ligneSaisieView"/>
    <s v="Génération des champs selon le type"/>
    <s v="Affichage"/>
    <x v="0"/>
    <n v="45"/>
    <n v="0"/>
    <n v="45"/>
    <n v="0"/>
  </r>
  <r>
    <s v="Frontoffice"/>
    <s v="Gestion Tableaux personnalises"/>
    <s v="ligneSaisieView"/>
    <s v="Champ texte et nombre"/>
    <s v="Affichage"/>
    <x v="0"/>
    <n v="15"/>
    <n v="0"/>
    <n v="15"/>
    <n v="0"/>
  </r>
  <r>
    <s v="Frontoffice"/>
    <s v="Gestion Tableaux personnalises"/>
    <s v="ligneSaisieView"/>
    <s v="Champ booléen"/>
    <s v="Affichage"/>
    <x v="0"/>
    <n v="15"/>
    <n v="0"/>
    <n v="15"/>
    <n v="0"/>
  </r>
  <r>
    <s v="Frontoffice"/>
    <s v="Gestion Tableaux personnalises"/>
    <s v="ligneSaisieView"/>
    <s v="Champ date"/>
    <s v="Affichage"/>
    <x v="0"/>
    <n v="15"/>
    <n v="0"/>
    <n v="15"/>
    <n v="0"/>
  </r>
  <r>
    <s v="Frontoffice"/>
    <s v="Gestion Tableaux personnalises"/>
    <s v="ligneSaisieView"/>
    <s v="Tableau des lignes saisies"/>
    <s v="Affichage"/>
    <x v="0"/>
    <n v="30"/>
    <n v="0"/>
    <n v="30"/>
    <n v="0"/>
  </r>
  <r>
    <s v="Frontoffice"/>
    <s v="Gestion Tableaux personnalises"/>
    <s v="ligneSaisieView"/>
    <s v="Integration : enregistrer une ligne"/>
    <s v="Integration"/>
    <x v="0"/>
    <n v="30"/>
    <n v="0"/>
    <n v="30"/>
    <n v="0"/>
  </r>
  <r>
    <s v="Frontoffice"/>
    <s v="Gestion Taxon"/>
    <s v="taxonService"/>
    <s v="getTaxon"/>
    <s v="Metier"/>
    <x v="0"/>
    <n v="30"/>
    <n v="0"/>
    <n v="30"/>
    <n v="0"/>
  </r>
  <r>
    <s v="Frontoffice"/>
    <s v="Gestion Taxon"/>
    <s v="taxonService"/>
    <s v="Recherche par nom scientifique"/>
    <s v="Metier"/>
    <x v="0"/>
    <n v="30"/>
    <n v="0"/>
    <n v="30"/>
    <n v="0"/>
  </r>
  <r>
    <s v="Frontoffice"/>
    <s v="Gestion Taxon"/>
    <s v="taxonService"/>
    <s v="modifierTaxon"/>
    <s v="Metier"/>
    <x v="0"/>
    <n v="30"/>
    <n v="0"/>
    <n v="30"/>
    <n v="0"/>
  </r>
  <r>
    <s v="Frontoffice"/>
    <s v="Gestion Taxon"/>
    <s v="taxonService"/>
    <s v="Droit réservé au chercheur principal (RG-04)"/>
    <s v="Metier"/>
    <x v="0"/>
    <n v="30"/>
    <n v="0"/>
    <n v="30"/>
    <n v="0"/>
  </r>
  <r>
    <s v="Frontoffice"/>
    <s v="Gestion Taxon"/>
    <s v="taxonFicheView"/>
    <s v="En-tête avec le nom scientifique"/>
    <s v="Affichage"/>
    <x v="0"/>
    <n v="30"/>
    <n v="0"/>
    <n v="30"/>
    <n v="0"/>
  </r>
  <r>
    <s v="Frontoffice"/>
    <s v="Gestion Taxon"/>
    <s v="taxonFicheView"/>
    <s v="Classification (du règne à l'espèce)"/>
    <s v="Affichage"/>
    <x v="0"/>
    <n v="30"/>
    <n v="0"/>
    <n v="30"/>
    <n v="0"/>
  </r>
  <r>
    <s v="Frontoffice"/>
    <s v="Gestion Taxon"/>
    <s v="taxonFicheView"/>
    <s v="Liste des occurrences liées"/>
    <s v="Affichage"/>
    <x v="0"/>
    <n v="30"/>
    <n v="0"/>
    <n v="30"/>
    <n v="0"/>
  </r>
  <r>
    <s v="Frontoffice"/>
    <s v="Gestion Taxon"/>
    <s v="taxonFicheView"/>
    <s v="Mode édition"/>
    <s v="Affichage"/>
    <x v="0"/>
    <n v="30"/>
    <n v="0"/>
    <n v="30"/>
    <n v="0"/>
  </r>
  <r>
    <s v="Frontoffice"/>
    <s v="Gestion Taxon"/>
    <s v="taxonFicheView"/>
    <s v="Integration : charger la fiche"/>
    <s v="Integration"/>
    <x v="0"/>
    <n v="30"/>
    <n v="0"/>
    <n v="30"/>
    <n v="0"/>
  </r>
  <r>
    <s v="Frontoffice"/>
    <s v="Gestion Taxon"/>
    <s v="taxonFicheView"/>
    <s v="Integration : enregistrer une modification"/>
    <s v="Integration"/>
    <x v="0"/>
    <n v="30"/>
    <n v="0"/>
    <n v="30"/>
    <n v="0"/>
  </r>
  <r>
    <s v="Frontoffice"/>
    <s v="Gestion Partage"/>
    <s v="partageService"/>
    <s v="Champ de confidentialité sur la recherche"/>
    <s v="Metier"/>
    <x v="0"/>
    <n v="30"/>
    <n v="0"/>
    <n v="30"/>
    <n v="0"/>
  </r>
  <r>
    <s v="Frontoffice"/>
    <s v="Gestion Partage"/>
    <s v="partageService"/>
    <s v="partager une recherche"/>
    <s v="Metier"/>
    <x v="0"/>
    <n v="30"/>
    <n v="0"/>
    <n v="30"/>
    <n v="0"/>
  </r>
  <r>
    <s v="Frontoffice"/>
    <s v="Gestion Partage"/>
    <s v="partageService"/>
    <s v="retirer le partage"/>
    <s v="Metier"/>
    <x v="0"/>
    <n v="30"/>
    <n v="0"/>
    <n v="30"/>
    <n v="0"/>
  </r>
  <r>
    <s v="Frontoffice"/>
    <s v="Gestion Partage"/>
    <s v="partageService"/>
    <s v="Lister les recherches partagées"/>
    <s v="Metier"/>
    <x v="0"/>
    <n v="30"/>
    <n v="0"/>
    <n v="30"/>
    <n v="0"/>
  </r>
  <r>
    <s v="Frontoffice"/>
    <s v="Gestion Partage"/>
    <s v="partageView"/>
    <s v="Interrupteur privé / partagé"/>
    <s v="Affichage"/>
    <x v="0"/>
    <n v="30"/>
    <n v="0"/>
    <n v="30"/>
    <n v="0"/>
  </r>
  <r>
    <s v="Frontoffice"/>
    <s v="Gestion Partage"/>
    <s v="partageView"/>
    <s v="Fenêtre de confirmation"/>
    <s v="Affichage"/>
    <x v="0"/>
    <n v="30"/>
    <n v="0"/>
    <n v="30"/>
    <n v="0"/>
  </r>
  <r>
    <s v="Frontoffice"/>
    <s v="Gestion Partage"/>
    <s v="espacePartageView"/>
    <s v="Liste des recherches partagées"/>
    <s v="Affichage"/>
    <x v="0"/>
    <n v="30"/>
    <n v="0"/>
    <n v="30"/>
    <n v="0"/>
  </r>
  <r>
    <s v="Frontoffice"/>
    <s v="Gestion Partage"/>
    <s v="espacePartageView"/>
    <s v="Fiche en lecture seule"/>
    <s v="Affichage"/>
    <x v="0"/>
    <n v="30"/>
    <n v="0"/>
    <n v="30"/>
    <n v="0"/>
  </r>
  <r>
    <s v="Frontoffice"/>
    <s v="Gestion Partage"/>
    <s v="espacePartageView"/>
    <s v="Integration : charger l'espace partagé"/>
    <s v="Integration"/>
    <x v="0"/>
    <n v="30"/>
    <n v="0"/>
    <n v="30"/>
    <n v="0"/>
  </r>
  <r>
    <s v="Frontoffice"/>
    <s v="Gestion Partage"/>
    <s v="demoIteration2"/>
    <s v="Préparer la démonstration"/>
    <s v="Test"/>
    <x v="0"/>
    <n v="15"/>
    <n v="0"/>
    <n v="15"/>
    <n v="0"/>
  </r>
  <r>
    <s v="Frontoffice"/>
    <s v="Gestion Partage"/>
    <s v="demoIteration2"/>
    <s v="Démonstration à l'encadrant (itération 2)"/>
    <s v="Gestion"/>
    <x v="0"/>
    <n v="15"/>
    <n v="0"/>
    <n v="15"/>
    <n v="0"/>
  </r>
  <r>
    <s v="Frontoffice"/>
    <s v="Gestion Hors ligne"/>
    <s v="serviceWorker"/>
    <s v="Enregistrer le Service Worker"/>
    <s v="Metier"/>
    <x v="0"/>
    <n v="30"/>
    <n v="0"/>
    <n v="30"/>
    <n v="0"/>
  </r>
  <r>
    <s v="Frontoffice"/>
    <s v="Gestion Hors ligne"/>
    <s v="serviceWorker"/>
    <s v="Liste des fichiers à mettre en cache"/>
    <s v="Metier"/>
    <x v="0"/>
    <n v="30"/>
    <n v="0"/>
    <n v="30"/>
    <n v="0"/>
  </r>
  <r>
    <s v="Frontoffice"/>
    <s v="Gestion Hors ligne"/>
    <s v="serviceWorker"/>
    <s v="Stratégie de cache"/>
    <s v="Metier"/>
    <x v="0"/>
    <n v="30"/>
    <n v="0"/>
    <n v="30"/>
    <n v="0"/>
  </r>
  <r>
    <s v="Frontoffice"/>
    <s v="Gestion Hors ligne"/>
    <s v="serviceWorker"/>
    <s v="Mise à jour du cache"/>
    <s v="Metier"/>
    <x v="0"/>
    <n v="30"/>
    <n v="0"/>
    <n v="30"/>
    <n v="0"/>
  </r>
  <r>
    <s v="Frontoffice"/>
    <s v="Gestion Hors ligne"/>
    <s v="serviceWorker"/>
    <s v="Page de secours"/>
    <s v="Metier"/>
    <x v="0"/>
    <n v="30"/>
    <n v="0"/>
    <n v="30"/>
    <n v="0"/>
  </r>
  <r>
    <s v="Frontoffice"/>
    <s v="Gestion Hors ligne"/>
    <s v="serviceWorker"/>
    <s v="Ouvrir l'application réseau coupé"/>
    <s v="Test"/>
    <x v="0"/>
    <n v="30"/>
    <n v="0"/>
    <n v="30"/>
    <n v="0"/>
  </r>
  <r>
    <s v="Frontoffice"/>
    <s v="Gestion Hors ligne"/>
    <s v="serviceWorker"/>
    <s v="Naviguer entre les pages réseau coupé"/>
    <s v="Test"/>
    <x v="0"/>
    <n v="30"/>
    <n v="0"/>
    <n v="30"/>
    <n v="0"/>
  </r>
  <r>
    <s v="Frontoffice"/>
    <s v="Gestion Hors ligne"/>
    <s v="serviceWorker"/>
    <s v="Recharger la page réseau coupé"/>
    <s v="Test"/>
    <x v="0"/>
    <n v="30"/>
    <n v="0"/>
    <n v="30"/>
    <n v="0"/>
  </r>
  <r>
    <s v="Frontoffice"/>
    <s v="Gestion Hors ligne"/>
    <s v="serviceWorker"/>
    <s v="Tester dans un navigateur"/>
    <s v="Test"/>
    <x v="0"/>
    <n v="30"/>
    <n v="0"/>
    <n v="30"/>
    <n v="0"/>
  </r>
  <r>
    <s v="Frontoffice"/>
    <s v="Gestion Hors ligne"/>
    <s v="serviceWorker"/>
    <s v="Tester dans un autre navigateur"/>
    <s v="Test"/>
    <x v="0"/>
    <n v="30"/>
    <n v="0"/>
    <n v="30"/>
    <n v="0"/>
  </r>
  <r>
    <s v="Frontoffice"/>
    <s v="Gestion Hors ligne"/>
    <s v="dexieService"/>
    <s v="Installer Dexie.js"/>
    <s v="Metier"/>
    <x v="0"/>
    <n v="15"/>
    <n v="0"/>
    <n v="15"/>
    <n v="0"/>
  </r>
  <r>
    <s v="Frontoffice"/>
    <s v="Gestion Hors ligne"/>
    <s v="dexieService"/>
    <s v="Tables locales (occurrences, mesures)"/>
    <s v="Metier"/>
    <x v="0"/>
    <n v="30"/>
    <n v="0"/>
    <n v="30"/>
    <n v="0"/>
  </r>
  <r>
    <s v="Frontoffice"/>
    <s v="Gestion Hors ligne"/>
    <s v="dexieService"/>
    <s v="Table de file d'attente"/>
    <s v="Metier"/>
    <x v="0"/>
    <n v="30"/>
    <n v="0"/>
    <n v="30"/>
    <n v="0"/>
  </r>
  <r>
    <s v="Frontoffice"/>
    <s v="Gestion Hors ligne"/>
    <s v="dexieService"/>
    <s v="Versionnement du schéma"/>
    <s v="Metier"/>
    <x v="0"/>
    <n v="15"/>
    <n v="0"/>
    <n v="15"/>
    <n v="0"/>
  </r>
  <r>
    <s v="Frontoffice"/>
    <s v="Gestion Hors ligne"/>
    <s v="dexieService"/>
    <s v="Test de lecture et d'écriture"/>
    <s v="Metier"/>
    <x v="0"/>
    <n v="30"/>
    <n v="0"/>
    <n v="30"/>
    <n v="0"/>
  </r>
  <r>
    <s v="Frontoffice"/>
    <s v="Gestion Hors ligne"/>
    <s v="dexieService"/>
    <s v="Détecter l'absence de réseau à l'envoi"/>
    <s v="Metier"/>
    <x v="0"/>
    <n v="30"/>
    <n v="0"/>
    <n v="30"/>
    <n v="0"/>
  </r>
  <r>
    <s v="Frontoffice"/>
    <s v="Gestion Hors ligne"/>
    <s v="dexieService"/>
    <s v="Sérialiser la saisie"/>
    <s v="Metier"/>
    <x v="0"/>
    <n v="30"/>
    <n v="0"/>
    <n v="30"/>
    <n v="0"/>
  </r>
  <r>
    <s v="Frontoffice"/>
    <s v="Gestion Hors ligne"/>
    <s v="dexieService"/>
    <s v="Identifiant local unique"/>
    <s v="Metier"/>
    <x v="0"/>
    <n v="30"/>
    <n v="0"/>
    <n v="30"/>
    <n v="0"/>
  </r>
  <r>
    <s v="Frontoffice"/>
    <s v="Gestion Hors ligne"/>
    <s v="dexieService"/>
    <s v="Enregistrer dans IndexedDB"/>
    <s v="Metier"/>
    <x v="0"/>
    <n v="30"/>
    <n v="0"/>
    <n v="30"/>
    <n v="0"/>
  </r>
  <r>
    <s v="Frontoffice"/>
    <s v="Gestion Hors ligne"/>
    <s v="dexieService"/>
    <s v="Relire les saisies locales"/>
    <s v="Metier"/>
    <x v="0"/>
    <n v="30"/>
    <n v="0"/>
    <n v="30"/>
    <n v="0"/>
  </r>
  <r>
    <s v="Frontoffice"/>
    <s v="Gestion Hors ligne"/>
    <s v="dexieService"/>
    <s v="Message à l'utilisateur"/>
    <s v="Metier"/>
    <x v="0"/>
    <n v="30"/>
    <n v="0"/>
    <n v="30"/>
    <n v="0"/>
  </r>
  <r>
    <s v="Frontoffice"/>
    <s v="Gestion Hors ligne"/>
    <s v="connexionService"/>
    <s v="Événements online et offline"/>
    <s v="Metier"/>
    <x v="0"/>
    <n v="30"/>
    <n v="0"/>
    <n v="30"/>
    <n v="0"/>
  </r>
  <r>
    <s v="Frontoffice"/>
    <s v="Gestion Hors ligne"/>
    <s v="connexionService"/>
    <s v="Vérification par appel API"/>
    <s v="Metier"/>
    <x v="0"/>
    <n v="30"/>
    <n v="0"/>
    <n v="30"/>
    <n v="0"/>
  </r>
  <r>
    <s v="Frontoffice"/>
    <s v="Gestion Hors ligne"/>
    <s v="connexionService"/>
    <s v="État global (store)"/>
    <s v="Metier"/>
    <x v="0"/>
    <n v="30"/>
    <n v="0"/>
    <n v="30"/>
    <n v="0"/>
  </r>
  <r>
    <s v="Frontoffice"/>
    <s v="Gestion Hors ligne"/>
    <s v="statutConnexionView"/>
    <s v="Pastille en ligne / hors ligne"/>
    <s v="Affichage"/>
    <x v="0"/>
    <n v="30"/>
    <n v="0"/>
    <n v="30"/>
    <n v="0"/>
  </r>
  <r>
    <s v="Frontoffice"/>
    <s v="Gestion Hors ligne"/>
    <s v="statutConnexionView"/>
    <s v="Bannière hors ligne"/>
    <s v="Affichage"/>
    <x v="0"/>
    <n v="30"/>
    <n v="0"/>
    <n v="30"/>
    <n v="0"/>
  </r>
  <r>
    <s v="Frontoffice"/>
    <s v="Gestion Hors ligne"/>
    <s v="statutConnexionView"/>
    <s v="Textes en français et en anglais"/>
    <s v="Affichage"/>
    <x v="0"/>
    <n v="30"/>
    <n v="0"/>
    <n v="30"/>
    <n v="0"/>
  </r>
  <r>
    <s v="Frontoffice"/>
    <s v="Gestion Hors ligne"/>
    <s v="fileAttenteView"/>
    <s v="Liste des saisies en attente"/>
    <s v="Affichage"/>
    <x v="0"/>
    <n v="30"/>
    <n v="0"/>
    <n v="30"/>
    <n v="0"/>
  </r>
  <r>
    <s v="Frontoffice"/>
    <s v="Gestion Hors ligne"/>
    <s v="fileAttenteView"/>
    <s v="Statut (en attente, envoyée, erreur)"/>
    <s v="Affichage"/>
    <x v="0"/>
    <n v="30"/>
    <n v="0"/>
    <n v="30"/>
    <n v="0"/>
  </r>
  <r>
    <s v="Frontoffice"/>
    <s v="Gestion Hors ligne"/>
    <s v="fileAttenteView"/>
    <s v="Compteur dans le menu"/>
    <s v="Affichage"/>
    <x v="0"/>
    <n v="30"/>
    <n v="0"/>
    <n v="30"/>
    <n v="0"/>
  </r>
  <r>
    <s v="Frontoffice"/>
    <s v="Gestion Hors ligne"/>
    <s v="fileAttenteView"/>
    <s v="Bouton de relance manuelle"/>
    <s v="Affichage"/>
    <x v="0"/>
    <n v="30"/>
    <n v="0"/>
    <n v="30"/>
    <n v="0"/>
  </r>
  <r>
    <s v="Frontoffice"/>
    <s v="Gestion Hors ligne"/>
    <s v="syncService"/>
    <s v="Détecter le retour du réseau"/>
    <s v="Metier"/>
    <x v="0"/>
    <n v="30"/>
    <n v="0"/>
    <n v="30"/>
    <n v="0"/>
  </r>
  <r>
    <s v="Frontoffice"/>
    <s v="Gestion Hors ligne"/>
    <s v="syncService"/>
    <s v="Envoyer les saisies dans l'ordre"/>
    <s v="Metier"/>
    <x v="0"/>
    <n v="30"/>
    <n v="0"/>
    <n v="30"/>
    <n v="0"/>
  </r>
  <r>
    <s v="Frontoffice"/>
    <s v="Gestion Hors ligne"/>
    <s v="syncService"/>
    <s v="Supprimer les saisies envoyées"/>
    <s v="Metier"/>
    <x v="0"/>
    <n v="30"/>
    <n v="0"/>
    <n v="30"/>
    <n v="0"/>
  </r>
  <r>
    <s v="Frontoffice"/>
    <s v="Gestion Hors ligne"/>
    <s v="syncService"/>
    <s v="Mettre à jour le statut"/>
    <s v="Metier"/>
    <x v="0"/>
    <n v="30"/>
    <n v="0"/>
    <n v="30"/>
    <n v="0"/>
  </r>
  <r>
    <s v="Frontoffice"/>
    <s v="Gestion Hors ligne"/>
    <s v="syncService"/>
    <s v="Endpoint de réception groupée"/>
    <s v="Metier"/>
    <x v="0"/>
    <n v="30"/>
    <n v="0"/>
    <n v="30"/>
    <n v="0"/>
  </r>
  <r>
    <s v="Frontoffice"/>
    <s v="Gestion Hors ligne"/>
    <s v="syncService"/>
    <s v="Réessayer après une erreur"/>
    <s v="Metier"/>
    <x v="0"/>
    <n v="30"/>
    <n v="0"/>
    <n v="30"/>
    <n v="0"/>
  </r>
  <r>
    <s v="Frontoffice"/>
    <s v="Gestion Hors ligne"/>
    <s v="syncService"/>
    <s v="Erreur de validation (saisie refusée)"/>
    <s v="Metier"/>
    <x v="0"/>
    <n v="30"/>
    <n v="0"/>
    <n v="30"/>
    <n v="0"/>
  </r>
  <r>
    <s v="Frontoffice"/>
    <s v="Gestion Hors ligne"/>
    <s v="syncService"/>
    <s v="Journal des erreurs"/>
    <s v="Metier"/>
    <x v="0"/>
    <n v="30"/>
    <n v="0"/>
    <n v="30"/>
    <n v="0"/>
  </r>
  <r>
    <s v="Frontoffice"/>
    <s v="Gestion Hors ligne"/>
    <s v="syncService"/>
    <s v="Identifiant local envoyé au serveur"/>
    <s v="Metier"/>
    <x v="0"/>
    <n v="30"/>
    <n v="0"/>
    <n v="30"/>
    <n v="0"/>
  </r>
  <r>
    <s v="Frontoffice"/>
    <s v="Gestion Hors ligne"/>
    <s v="syncService"/>
    <s v="Rejeter une saisie déjà reçue"/>
    <s v="Metier"/>
    <x v="0"/>
    <n v="30"/>
    <n v="0"/>
    <n v="30"/>
    <n v="0"/>
  </r>
  <r>
    <s v="Frontoffice"/>
    <s v="Gestion Hors ligne"/>
    <s v="horsLigneTests"/>
    <s v="Une saisie hors ligne"/>
    <s v="Test"/>
    <x v="0"/>
    <n v="30"/>
    <n v="0"/>
    <n v="30"/>
    <n v="0"/>
  </r>
  <r>
    <s v="Frontoffice"/>
    <s v="Gestion Hors ligne"/>
    <s v="horsLigneTests"/>
    <s v="Plusieurs saisies"/>
    <s v="Test"/>
    <x v="0"/>
    <n v="30"/>
    <n v="0"/>
    <n v="30"/>
    <n v="0"/>
  </r>
  <r>
    <s v="Frontoffice"/>
    <s v="Gestion Hors ligne"/>
    <s v="horsLigneTests"/>
    <s v="Rechargement de la page"/>
    <s v="Test"/>
    <x v="0"/>
    <n v="30"/>
    <n v="0"/>
    <n v="30"/>
    <n v="0"/>
  </r>
  <r>
    <s v="Frontoffice"/>
    <s v="Gestion Hors ligne"/>
    <s v="horsLigneTests"/>
    <s v="Retour du réseau"/>
    <s v="Test"/>
    <x v="0"/>
    <n v="30"/>
    <n v="0"/>
    <n v="30"/>
    <n v="0"/>
  </r>
  <r>
    <s v="Frontoffice"/>
    <s v="Gestion Hors ligne"/>
    <s v="horsLigneTests"/>
    <s v="Coupure pendant l'envoi"/>
    <s v="Test"/>
    <x v="0"/>
    <n v="30"/>
    <n v="0"/>
    <n v="30"/>
    <n v="0"/>
  </r>
  <r>
    <s v="Frontoffice"/>
    <s v="Gestion Hors ligne"/>
    <s v="horsLigneTests"/>
    <s v="Vérifier les données en base"/>
    <s v="Test"/>
    <x v="0"/>
    <n v="30"/>
    <n v="0"/>
    <n v="30"/>
    <n v="0"/>
  </r>
  <r>
    <s v="Frontoffice"/>
    <s v="Gestion Hors ligne"/>
    <s v="horsLigneTests"/>
    <s v="Corriger les anomalies du cache"/>
    <s v="Metier"/>
    <x v="0"/>
    <n v="30"/>
    <n v="0"/>
    <n v="30"/>
    <n v="0"/>
  </r>
  <r>
    <s v="Frontoffice"/>
    <s v="Gestion Hors ligne"/>
    <s v="horsLigneTests"/>
    <s v="Corriger les anomalies de synchronisation"/>
    <s v="Metier"/>
    <x v="0"/>
    <n v="30"/>
    <n v="0"/>
    <n v="30"/>
    <n v="0"/>
  </r>
  <r>
    <s v="Frontoffice"/>
    <s v="Gestion Hors ligne"/>
    <s v="horsLigneTests"/>
    <s v="Corriger l'affichage de la file d'attente"/>
    <s v="Affichage"/>
    <x v="0"/>
    <n v="30"/>
    <n v="0"/>
    <n v="30"/>
    <n v="0"/>
  </r>
  <r>
    <s v="Frontoffice"/>
    <s v="Gestion Hors ligne"/>
    <s v="horsLigneTests"/>
    <s v="Retester le scénario complet"/>
    <s v="Test"/>
    <x v="0"/>
    <n v="30"/>
    <n v="0"/>
    <n v="30"/>
    <n v="0"/>
  </r>
  <r>
    <s v="Frontoffice"/>
    <s v="Gestion Validation"/>
    <s v="validationService"/>
    <s v="Champ statut (en attente, validé, rejeté)"/>
    <s v="Metier"/>
    <x v="0"/>
    <n v="30"/>
    <n v="0"/>
    <n v="30"/>
    <n v="0"/>
  </r>
  <r>
    <s v="Frontoffice"/>
    <s v="Gestion Validation"/>
    <s v="validationService"/>
    <s v="Changer le statut"/>
    <s v="Metier"/>
    <x v="0"/>
    <n v="30"/>
    <n v="0"/>
    <n v="30"/>
    <n v="0"/>
  </r>
  <r>
    <s v="Frontoffice"/>
    <s v="Gestion Validation"/>
    <s v="validationService"/>
    <s v="Contrôle du droit du chercheur"/>
    <s v="Metier"/>
    <x v="0"/>
    <n v="30"/>
    <n v="0"/>
    <n v="30"/>
    <n v="0"/>
  </r>
  <r>
    <s v="Frontoffice"/>
    <s v="Gestion Validation"/>
    <s v="validationService"/>
    <s v="Motif de rejet"/>
    <s v="Metier"/>
    <x v="0"/>
    <n v="30"/>
    <n v="0"/>
    <n v="30"/>
    <n v="0"/>
  </r>
  <r>
    <s v="Frontoffice"/>
    <s v="Gestion Validation"/>
    <s v="validationService"/>
    <s v="Endpoints de validation"/>
    <s v="Metier"/>
    <x v="0"/>
    <n v="30"/>
    <n v="0"/>
    <n v="30"/>
    <n v="0"/>
  </r>
  <r>
    <s v="Frontoffice"/>
    <s v="Gestion Validation"/>
    <s v="validationService"/>
    <s v="Reconnaître le rôle agent de saisie"/>
    <s v="Metier"/>
    <x v="0"/>
    <n v="30"/>
    <n v="0"/>
    <n v="30"/>
    <n v="0"/>
  </r>
  <r>
    <s v="Frontoffice"/>
    <s v="Gestion Validation"/>
    <s v="validationService"/>
    <s v="Statut « en attente » à l'enregistrement (RG-03)"/>
    <s v="Metier"/>
    <x v="0"/>
    <n v="30"/>
    <n v="0"/>
    <n v="30"/>
    <n v="0"/>
  </r>
  <r>
    <s v="Frontoffice"/>
    <s v="Gestion Validation"/>
    <s v="validationService"/>
    <s v="Lier l'agent au chercheur"/>
    <s v="Metier"/>
    <x v="0"/>
    <n v="30"/>
    <n v="0"/>
    <n v="30"/>
    <n v="0"/>
  </r>
  <r>
    <s v="Frontoffice"/>
    <s v="Gestion Validation"/>
    <s v="validationService"/>
    <s v="Lister les saisies d'un agent"/>
    <s v="Metier"/>
    <x v="0"/>
    <n v="30"/>
    <n v="0"/>
    <n v="30"/>
    <n v="0"/>
  </r>
  <r>
    <s v="Frontoffice"/>
    <s v="Gestion Validation"/>
    <s v="validationService"/>
    <s v="Tester la validation"/>
    <s v="Test"/>
    <x v="0"/>
    <n v="30"/>
    <n v="0"/>
    <n v="30"/>
    <n v="0"/>
  </r>
  <r>
    <s v="Frontoffice"/>
    <s v="Gestion Validation"/>
    <s v="validationListView"/>
    <s v="Tableau des saisies à valider"/>
    <s v="Affichage"/>
    <x v="0"/>
    <n v="30"/>
    <n v="0"/>
    <n v="30"/>
    <n v="0"/>
  </r>
  <r>
    <s v="Frontoffice"/>
    <s v="Gestion Validation"/>
    <s v="validationListView"/>
    <s v="Filtres par agent et statut"/>
    <s v="Affichage"/>
    <x v="0"/>
    <n v="30"/>
    <n v="0"/>
    <n v="30"/>
    <n v="0"/>
  </r>
  <r>
    <s v="Frontoffice"/>
    <s v="Gestion Validation"/>
    <s v="validationListView"/>
    <s v="Compteur"/>
    <s v="Affichage"/>
    <x v="0"/>
    <n v="30"/>
    <n v="0"/>
    <n v="30"/>
    <n v="0"/>
  </r>
  <r>
    <s v="Frontoffice"/>
    <s v="Gestion Validation"/>
    <s v="validationDetailView"/>
    <s v="Affichage de la saisie"/>
    <s v="Affichage"/>
    <x v="0"/>
    <n v="30"/>
    <n v="0"/>
    <n v="30"/>
    <n v="0"/>
  </r>
  <r>
    <s v="Frontoffice"/>
    <s v="Gestion Validation"/>
    <s v="validationDetailView"/>
    <s v="Boutons valider et rejeter"/>
    <s v="Affichage"/>
    <x v="0"/>
    <n v="30"/>
    <n v="0"/>
    <n v="30"/>
    <n v="0"/>
  </r>
  <r>
    <s v="Frontoffice"/>
    <s v="Gestion Validation"/>
    <s v="validationDetailView"/>
    <s v="Champ du motif de rejet"/>
    <s v="Affichage"/>
    <x v="0"/>
    <n v="30"/>
    <n v="0"/>
    <n v="30"/>
    <n v="0"/>
  </r>
  <r>
    <s v="Frontoffice"/>
    <s v="Gestion Validation"/>
    <s v="validationDetailView"/>
    <s v="Integration : charger la liste"/>
    <s v="Integration"/>
    <x v="0"/>
    <n v="30"/>
    <n v="0"/>
    <n v="30"/>
    <n v="0"/>
  </r>
  <r>
    <s v="Frontoffice"/>
    <s v="Gestion Validation"/>
    <s v="validationDetailView"/>
    <s v="Integration : valider ou rejeter"/>
    <s v="Integration"/>
    <x v="0"/>
    <n v="30"/>
    <n v="0"/>
    <n v="30"/>
    <n v="0"/>
  </r>
  <r>
    <s v="Frontoffice"/>
    <s v="Gestion Validation"/>
    <s v="historiqueService"/>
    <s v="Enregistrer chaque événement"/>
    <s v="Metier"/>
    <x v="0"/>
    <n v="30"/>
    <n v="0"/>
    <n v="30"/>
    <n v="0"/>
  </r>
  <r>
    <s v="Frontoffice"/>
    <s v="Gestion Validation"/>
    <s v="historiqueService"/>
    <s v="Afficher l'historique"/>
    <s v="Metier"/>
    <x v="0"/>
    <n v="30"/>
    <n v="0"/>
    <n v="30"/>
    <n v="0"/>
  </r>
  <r>
    <s v="Frontoffice"/>
    <s v="Gestion Medias"/>
    <s v="mediaService"/>
    <s v="Client MinIO (bucket)"/>
    <s v="Metier"/>
    <x v="0"/>
    <n v="30"/>
    <n v="0"/>
    <n v="30"/>
    <n v="0"/>
  </r>
  <r>
    <s v="Frontoffice"/>
    <s v="Gestion Medias"/>
    <s v="mediaService"/>
    <s v="Endpoint d'envoi"/>
    <s v="Metier"/>
    <x v="0"/>
    <n v="30"/>
    <n v="0"/>
    <n v="30"/>
    <n v="0"/>
  </r>
  <r>
    <s v="Frontoffice"/>
    <s v="Gestion Medias"/>
    <s v="mediaService"/>
    <s v="Contrôle du type et de la taille"/>
    <s v="Metier"/>
    <x v="0"/>
    <n v="30"/>
    <n v="0"/>
    <n v="30"/>
    <n v="0"/>
  </r>
  <r>
    <s v="Frontoffice"/>
    <s v="Gestion Medias"/>
    <s v="mediaService"/>
    <s v="Enregistrer la référence en base"/>
    <s v="Metier"/>
    <x v="0"/>
    <n v="30"/>
    <n v="0"/>
    <n v="30"/>
    <n v="0"/>
  </r>
  <r>
    <s v="Frontoffice"/>
    <s v="Gestion Medias"/>
    <s v="mediaService"/>
    <s v="Endpoint de lecture"/>
    <s v="Metier"/>
    <x v="0"/>
    <n v="30"/>
    <n v="0"/>
    <n v="30"/>
    <n v="0"/>
  </r>
  <r>
    <s v="Frontoffice"/>
    <s v="Gestion Medias"/>
    <s v="mediaService"/>
    <s v="URL signée temporaire"/>
    <s v="Metier"/>
    <x v="0"/>
    <n v="30"/>
    <n v="0"/>
    <n v="30"/>
    <n v="0"/>
  </r>
  <r>
    <s v="Frontoffice"/>
    <s v="Gestion Medias"/>
    <s v="mediaService"/>
    <s v="Contrôle d'accès"/>
    <s v="Metier"/>
    <x v="0"/>
    <n v="30"/>
    <n v="0"/>
    <n v="30"/>
    <n v="0"/>
  </r>
  <r>
    <s v="Frontoffice"/>
    <s v="Gestion Medias"/>
    <s v="mediaService"/>
    <s v="Supprimer le fichier dans MinIO"/>
    <s v="Metier"/>
    <x v="0"/>
    <n v="30"/>
    <n v="0"/>
    <n v="30"/>
    <n v="0"/>
  </r>
  <r>
    <s v="Frontoffice"/>
    <s v="Gestion Medias"/>
    <s v="mediaService"/>
    <s v="Supprimer la référence"/>
    <s v="Metier"/>
    <x v="0"/>
    <n v="30"/>
    <n v="0"/>
    <n v="30"/>
    <n v="0"/>
  </r>
  <r>
    <s v="Frontoffice"/>
    <s v="Gestion Medias"/>
    <s v="mediaService"/>
    <s v="Droit de suppression"/>
    <s v="Metier"/>
    <x v="0"/>
    <n v="30"/>
    <n v="0"/>
    <n v="30"/>
    <n v="0"/>
  </r>
  <r>
    <s v="Frontoffice"/>
    <s v="Gestion Medias"/>
    <s v="mediaListView"/>
    <s v="Grille de vignettes"/>
    <s v="Affichage"/>
    <x v="0"/>
    <n v="30"/>
    <n v="0"/>
    <n v="30"/>
    <n v="0"/>
  </r>
  <r>
    <s v="Frontoffice"/>
    <s v="Gestion Medias"/>
    <s v="mediaListView"/>
    <s v="Aperçu photo"/>
    <s v="Affichage"/>
    <x v="0"/>
    <n v="30"/>
    <n v="0"/>
    <n v="30"/>
    <n v="0"/>
  </r>
  <r>
    <s v="Frontoffice"/>
    <s v="Gestion Medias"/>
    <s v="mediaListView"/>
    <s v="Lecteur vidéo"/>
    <s v="Affichage"/>
    <x v="0"/>
    <n v="30"/>
    <n v="0"/>
    <n v="30"/>
    <n v="0"/>
  </r>
  <r>
    <s v="Frontoffice"/>
    <s v="Gestion Medias"/>
    <s v="mediaListView"/>
    <s v="Légende et commentaire"/>
    <s v="Affichage"/>
    <x v="0"/>
    <n v="30"/>
    <n v="0"/>
    <n v="30"/>
    <n v="0"/>
  </r>
  <r>
    <s v="Frontoffice"/>
    <s v="Gestion Medias"/>
    <s v="mediaListView"/>
    <s v="Filtre par type"/>
    <s v="Affichage"/>
    <x v="0"/>
    <n v="30"/>
    <n v="0"/>
    <n v="30"/>
    <n v="0"/>
  </r>
  <r>
    <s v="Frontoffice"/>
    <s v="Gestion Medias"/>
    <s v="mediaUploadView"/>
    <s v="Zone de dépôt"/>
    <s v="Affichage"/>
    <x v="0"/>
    <n v="30"/>
    <n v="0"/>
    <n v="30"/>
    <n v="0"/>
  </r>
  <r>
    <s v="Frontoffice"/>
    <s v="Gestion Medias"/>
    <s v="mediaUploadView"/>
    <s v="Barre de progression"/>
    <s v="Affichage"/>
    <x v="0"/>
    <n v="30"/>
    <n v="0"/>
    <n v="30"/>
    <n v="0"/>
  </r>
  <r>
    <s v="Frontoffice"/>
    <s v="Gestion Medias"/>
    <s v="mediaUploadView"/>
    <s v="Choix de l'occurrence liée"/>
    <s v="Affichage"/>
    <x v="0"/>
    <n v="30"/>
    <n v="0"/>
    <n v="30"/>
    <n v="0"/>
  </r>
  <r>
    <s v="Frontoffice"/>
    <s v="Gestion Medias"/>
    <s v="mediaUploadView"/>
    <s v="Integration : envoyer un fichier"/>
    <s v="Integration"/>
    <x v="0"/>
    <n v="30"/>
    <n v="0"/>
    <n v="30"/>
    <n v="0"/>
  </r>
  <r>
    <s v="Frontoffice"/>
    <s v="Gestion Medias"/>
    <s v="mediaUploadView"/>
    <s v="Integration : afficher les médias d'une occurrence"/>
    <s v="Integration"/>
    <x v="0"/>
    <n v="30"/>
    <n v="0"/>
    <n v="30"/>
    <n v="0"/>
  </r>
  <r>
    <s v="Frontoffice"/>
    <s v="Gestion Medias"/>
    <s v="revueSemaine9"/>
    <s v="Tester la validation"/>
    <s v="Test"/>
    <x v="0"/>
    <n v="30"/>
    <n v="0"/>
    <n v="30"/>
    <n v="0"/>
  </r>
  <r>
    <s v="Frontoffice"/>
    <s v="Gestion Medias"/>
    <s v="revueSemaine9"/>
    <s v="Tester les médias"/>
    <s v="Test"/>
    <x v="0"/>
    <n v="30"/>
    <n v="0"/>
    <n v="30"/>
    <n v="0"/>
  </r>
  <r>
    <s v="Frontoffice"/>
    <s v="Gestion Medias"/>
    <s v="revueSemaine9"/>
    <s v="Corriger les anomalies de validation"/>
    <s v="Metier"/>
    <x v="0"/>
    <n v="30"/>
    <n v="0"/>
    <n v="30"/>
    <n v="0"/>
  </r>
  <r>
    <s v="Frontoffice"/>
    <s v="Gestion Medias"/>
    <s v="revueSemaine9"/>
    <s v="Corriger les anomalies des médias"/>
    <s v="Metier"/>
    <x v="0"/>
    <n v="30"/>
    <n v="0"/>
    <n v="30"/>
    <n v="0"/>
  </r>
  <r>
    <s v="Frontoffice"/>
    <s v="Gestion Medias"/>
    <s v="revueSemaine9"/>
    <s v="Revoir l'interface"/>
    <s v="Affichage"/>
    <x v="0"/>
    <n v="30"/>
    <n v="0"/>
    <n v="30"/>
    <n v="0"/>
  </r>
  <r>
    <s v="Frontoffice"/>
    <s v="Gestion Medias"/>
    <s v="revueSemaine9"/>
    <s v="Mettre à jour le carnet de bord"/>
    <s v="Gestion"/>
    <x v="0"/>
    <n v="30"/>
    <n v="0"/>
    <n v="30"/>
    <n v="0"/>
  </r>
  <r>
    <s v="Frontoffice"/>
    <s v="Gestion Recherche espace partage"/>
    <s v="rechercheEspaceService"/>
    <s v="Recherche par nom d'espèce"/>
    <s v="Metier"/>
    <x v="0"/>
    <n v="30"/>
    <n v="0"/>
    <n v="30"/>
    <n v="0"/>
  </r>
  <r>
    <s v="Frontoffice"/>
    <s v="Gestion Recherche espace partage"/>
    <s v="rechercheEspaceService"/>
    <s v="Recherche par observation"/>
    <s v="Metier"/>
    <x v="0"/>
    <n v="30"/>
    <n v="0"/>
    <n v="30"/>
    <n v="0"/>
  </r>
  <r>
    <s v="Frontoffice"/>
    <s v="Gestion Recherche espace partage"/>
    <s v="rechercheEspaceService"/>
    <s v="Recherche par jeu de données"/>
    <s v="Metier"/>
    <x v="0"/>
    <n v="30"/>
    <n v="0"/>
    <n v="30"/>
    <n v="0"/>
  </r>
  <r>
    <s v="Frontoffice"/>
    <s v="Gestion Recherche espace partage"/>
    <s v="rechercheEspaceService"/>
    <s v="Pagination"/>
    <s v="Metier"/>
    <x v="0"/>
    <n v="30"/>
    <n v="0"/>
    <n v="30"/>
    <n v="0"/>
  </r>
  <r>
    <s v="Frontoffice"/>
    <s v="Gestion Recherche espace partage"/>
    <s v="rechercheEspaceService"/>
    <s v="Limiter aux données partagées"/>
    <s v="Metier"/>
    <x v="0"/>
    <n v="30"/>
    <n v="0"/>
    <n v="30"/>
    <n v="0"/>
  </r>
  <r>
    <s v="Frontoffice"/>
    <s v="Gestion Recherche espace partage"/>
    <s v="rechercheEspaceView"/>
    <s v="Barre de recherche"/>
    <s v="Affichage"/>
    <x v="0"/>
    <n v="30"/>
    <n v="0"/>
    <n v="30"/>
    <n v="0"/>
  </r>
  <r>
    <s v="Frontoffice"/>
    <s v="Gestion Recherche espace partage"/>
    <s v="rechercheEspaceView"/>
    <s v="Filtres"/>
    <s v="Affichage"/>
    <x v="0"/>
    <n v="30"/>
    <n v="0"/>
    <n v="30"/>
    <n v="0"/>
  </r>
  <r>
    <s v="Frontoffice"/>
    <s v="Gestion Recherche espace partage"/>
    <s v="rechercheEspaceView"/>
    <s v="Liste de résultats"/>
    <s v="Affichage"/>
    <x v="0"/>
    <n v="30"/>
    <n v="0"/>
    <n v="30"/>
    <n v="0"/>
  </r>
  <r>
    <s v="Frontoffice"/>
    <s v="Gestion Recherche espace partage"/>
    <s v="rechercheEspaceView"/>
    <s v="Page de résultat"/>
    <s v="Affichage"/>
    <x v="0"/>
    <n v="30"/>
    <n v="0"/>
    <n v="30"/>
    <n v="0"/>
  </r>
  <r>
    <s v="Frontoffice"/>
    <s v="Gestion Recherche espace partage"/>
    <s v="rechercheEspaceView"/>
    <s v="Integration : lancer une recherche"/>
    <s v="Integration"/>
    <x v="0"/>
    <n v="30"/>
    <n v="0"/>
    <n v="30"/>
    <n v="0"/>
  </r>
  <r>
    <s v="Frontoffice"/>
    <s v="Gestion Notifications"/>
    <s v="notificationService"/>
    <s v="Entité notification"/>
    <s v="Metier"/>
    <x v="0"/>
    <n v="30"/>
    <n v="0"/>
    <n v="30"/>
    <n v="0"/>
  </r>
  <r>
    <s v="Frontoffice"/>
    <s v="Gestion Notifications"/>
    <s v="notificationService"/>
    <s v="Notification d'invitation"/>
    <s v="Metier"/>
    <x v="0"/>
    <n v="30"/>
    <n v="0"/>
    <n v="30"/>
    <n v="0"/>
  </r>
  <r>
    <s v="Frontoffice"/>
    <s v="Gestion Notifications"/>
    <s v="notificationService"/>
    <s v="Notification de demande de validation"/>
    <s v="Metier"/>
    <x v="0"/>
    <n v="30"/>
    <n v="0"/>
    <n v="30"/>
    <n v="0"/>
  </r>
  <r>
    <s v="Frontoffice"/>
    <s v="Gestion Notifications"/>
    <s v="notificationService"/>
    <s v="Notification de validation ou de rejet"/>
    <s v="Metier"/>
    <x v="0"/>
    <n v="30"/>
    <n v="0"/>
    <n v="30"/>
    <n v="0"/>
  </r>
  <r>
    <s v="Frontoffice"/>
    <s v="Gestion Notifications"/>
    <s v="notificationService"/>
    <s v="Notification de partage"/>
    <s v="Metier"/>
    <x v="0"/>
    <n v="30"/>
    <n v="0"/>
    <n v="30"/>
    <n v="0"/>
  </r>
  <r>
    <s v="Frontoffice"/>
    <s v="Gestion Notifications"/>
    <s v="notificationService"/>
    <s v="Tester la création des notifications"/>
    <s v="Test"/>
    <x v="0"/>
    <n v="30"/>
    <n v="0"/>
    <n v="30"/>
    <n v="0"/>
  </r>
  <r>
    <s v="Frontoffice"/>
    <s v="Gestion Notifications"/>
    <s v="notificationService"/>
    <s v="Lister"/>
    <s v="Metier"/>
    <x v="0"/>
    <n v="30"/>
    <n v="0"/>
    <n v="30"/>
    <n v="0"/>
  </r>
  <r>
    <s v="Frontoffice"/>
    <s v="Gestion Notifications"/>
    <s v="notificationService"/>
    <s v="Compter les non lues"/>
    <s v="Metier"/>
    <x v="0"/>
    <n v="30"/>
    <n v="0"/>
    <n v="30"/>
    <n v="0"/>
  </r>
  <r>
    <s v="Frontoffice"/>
    <s v="Gestion Notifications"/>
    <s v="notificationService"/>
    <s v="Marquer comme lue"/>
    <s v="Metier"/>
    <x v="0"/>
    <n v="30"/>
    <n v="0"/>
    <n v="30"/>
    <n v="0"/>
  </r>
  <r>
    <s v="Frontoffice"/>
    <s v="Gestion Notifications"/>
    <s v="notificationService"/>
    <s v="Tout marquer comme lu"/>
    <s v="Metier"/>
    <x v="0"/>
    <n v="30"/>
    <n v="0"/>
    <n v="30"/>
    <n v="0"/>
  </r>
  <r>
    <s v="Frontoffice"/>
    <s v="Gestion Notifications"/>
    <s v="notificationView"/>
    <s v="Icône cloche"/>
    <s v="Affichage"/>
    <x v="0"/>
    <n v="30"/>
    <n v="0"/>
    <n v="30"/>
    <n v="0"/>
  </r>
  <r>
    <s v="Frontoffice"/>
    <s v="Gestion Notifications"/>
    <s v="notificationView"/>
    <s v="Compteur"/>
    <s v="Affichage"/>
    <x v="0"/>
    <n v="30"/>
    <n v="0"/>
    <n v="30"/>
    <n v="0"/>
  </r>
  <r>
    <s v="Frontoffice"/>
    <s v="Gestion Notifications"/>
    <s v="notificationView"/>
    <s v="Menu déroulant"/>
    <s v="Affichage"/>
    <x v="0"/>
    <n v="30"/>
    <n v="0"/>
    <n v="30"/>
    <n v="0"/>
  </r>
  <r>
    <s v="Frontoffice"/>
    <s v="Gestion Notifications"/>
    <s v="notificationView"/>
    <s v="Rafraîchissement régulier"/>
    <s v="Affichage"/>
    <x v="0"/>
    <n v="30"/>
    <n v="0"/>
    <n v="30"/>
    <n v="0"/>
  </r>
  <r>
    <s v="Frontoffice"/>
    <s v="Gestion Notifications"/>
    <s v="notificationView"/>
    <s v="Page des notifications"/>
    <s v="Affichage"/>
    <x v="0"/>
    <n v="30"/>
    <n v="0"/>
    <n v="30"/>
    <n v="0"/>
  </r>
  <r>
    <s v="Frontoffice"/>
    <s v="Gestion Notifications"/>
    <s v="notificationView"/>
    <s v="Marquer comme lue au clic"/>
    <s v="Affichage"/>
    <x v="0"/>
    <n v="30"/>
    <n v="0"/>
    <n v="30"/>
    <n v="0"/>
  </r>
  <r>
    <s v="Frontoffice"/>
    <s v="Gestion Notifications"/>
    <s v="notificationView"/>
    <s v="Lien vers la page concernée"/>
    <s v="Affichage"/>
    <x v="0"/>
    <n v="30"/>
    <n v="0"/>
    <n v="30"/>
    <n v="0"/>
  </r>
  <r>
    <s v="Frontoffice"/>
    <s v="Gestion Notifications"/>
    <s v="notificationView"/>
    <s v="Integration : charger le compteur"/>
    <s v="Integration"/>
    <x v="0"/>
    <n v="30"/>
    <n v="0"/>
    <n v="30"/>
    <n v="0"/>
  </r>
  <r>
    <s v="Frontoffice"/>
    <s v="Gestion Notifications"/>
    <s v="notificationView"/>
    <s v="Integration : charger la liste"/>
    <s v="Integration"/>
    <x v="0"/>
    <n v="30"/>
    <n v="0"/>
    <n v="30"/>
    <n v="0"/>
  </r>
  <r>
    <s v="Frontoffice"/>
    <s v="Gestion Notifications"/>
    <s v="notificationView"/>
    <s v="Integration : marquer comme lue"/>
    <s v="Integration"/>
    <x v="0"/>
    <n v="30"/>
    <n v="0"/>
    <n v="30"/>
    <n v="0"/>
  </r>
  <r>
    <s v="Frontoffice"/>
    <s v="Gestion Bonus"/>
    <s v="dashboardView"/>
    <s v="Choisir : tableau de bord (BF-13) ou espace thèse (BF-11)"/>
    <s v="Gestion"/>
    <x v="0"/>
    <n v="30"/>
    <n v="0"/>
    <n v="30"/>
    <n v="0"/>
  </r>
  <r>
    <s v="Frontoffice"/>
    <s v="Gestion Bonus"/>
    <s v="dashboardView"/>
    <s v="API du tableau de bord"/>
    <s v="Metier"/>
    <x v="0"/>
    <n v="30"/>
    <n v="0"/>
    <n v="30"/>
    <n v="0"/>
  </r>
  <r>
    <s v="Frontoffice"/>
    <s v="Gestion Bonus"/>
    <s v="dashboardView"/>
    <s v="Cartes de chiffres clés"/>
    <s v="Affichage"/>
    <x v="0"/>
    <n v="30"/>
    <n v="0"/>
    <n v="30"/>
    <n v="0"/>
  </r>
  <r>
    <s v="Frontoffice"/>
    <s v="Gestion Bonus"/>
    <s v="dashboardView"/>
    <s v="Graphique des occurrences par mois"/>
    <s v="Affichage"/>
    <x v="0"/>
    <n v="30"/>
    <n v="0"/>
    <n v="30"/>
    <n v="0"/>
  </r>
  <r>
    <s v="Frontoffice"/>
    <s v="Gestion Bonus"/>
    <s v="dashboardView"/>
    <s v="Notes personnelles : formulaire"/>
    <s v="Affichage"/>
    <x v="0"/>
    <n v="30"/>
    <n v="0"/>
    <n v="30"/>
    <n v="0"/>
  </r>
  <r>
    <s v="Frontoffice"/>
    <s v="Gestion Bonus"/>
    <s v="dashboardView"/>
    <s v="Notes personnelles : liste"/>
    <s v="Affichage"/>
    <x v="0"/>
    <n v="30"/>
    <n v="0"/>
    <n v="30"/>
    <n v="0"/>
  </r>
  <r>
    <s v="Frontoffice"/>
    <s v="Gestion Bonus"/>
    <s v="dashboardView"/>
    <s v="Notes personnelles : enregistrement"/>
    <s v="Metier"/>
    <x v="0"/>
    <n v="30"/>
    <n v="0"/>
    <n v="30"/>
    <n v="0"/>
  </r>
  <r>
    <s v="Frontoffice"/>
    <s v="Gestion Bonus"/>
    <s v="dashboardView"/>
    <s v="Integration : tableau de bord et notes"/>
    <s v="Integration"/>
    <x v="0"/>
    <n v="30"/>
    <n v="0"/>
    <n v="30"/>
    <n v="0"/>
  </r>
  <r>
    <s v="Frontoffice"/>
    <s v="Gestion Bonus"/>
    <s v="dashboardView"/>
    <s v="Tests"/>
    <s v="Test"/>
    <x v="0"/>
    <n v="30"/>
    <n v="0"/>
    <n v="30"/>
    <n v="0"/>
  </r>
  <r>
    <s v="Frontoffice"/>
    <s v="Gestion Bonus"/>
    <s v="dashboardView"/>
    <s v="Style"/>
    <s v="Affichage"/>
    <x v="0"/>
    <n v="30"/>
    <n v="0"/>
    <n v="30"/>
    <n v="0"/>
  </r>
  <r>
    <s v="Mise en place"/>
    <s v="Gestion Gel des fonctionnalites"/>
    <s v="gel"/>
    <s v="Revue : authentification et utilisateurs"/>
    <s v="Test"/>
    <x v="0"/>
    <n v="30"/>
    <n v="0"/>
    <n v="30"/>
    <n v="0"/>
  </r>
  <r>
    <s v="Mise en place"/>
    <s v="Gestion Gel des fonctionnalites"/>
    <s v="gel"/>
    <s v="Revue : recherches et datasets"/>
    <s v="Test"/>
    <x v="0"/>
    <n v="30"/>
    <n v="0"/>
    <n v="30"/>
    <n v="0"/>
  </r>
  <r>
    <s v="Mise en place"/>
    <s v="Gestion Gel des fonctionnalites"/>
    <s v="gel"/>
    <s v="Revue : saisie"/>
    <s v="Test"/>
    <x v="0"/>
    <n v="30"/>
    <n v="0"/>
    <n v="30"/>
    <n v="0"/>
  </r>
  <r>
    <s v="Mise en place"/>
    <s v="Gestion Gel des fonctionnalites"/>
    <s v="gel"/>
    <s v="Revue : import et export"/>
    <s v="Test"/>
    <x v="0"/>
    <n v="30"/>
    <n v="0"/>
    <n v="30"/>
    <n v="0"/>
  </r>
  <r>
    <s v="Mise en place"/>
    <s v="Gestion Gel des fonctionnalites"/>
    <s v="gel"/>
    <s v="Revue : tableaux personnalisés, taxon et partage"/>
    <s v="Test"/>
    <x v="0"/>
    <n v="30"/>
    <n v="0"/>
    <n v="30"/>
    <n v="0"/>
  </r>
  <r>
    <s v="Mise en place"/>
    <s v="Gestion Gel des fonctionnalites"/>
    <s v="gel"/>
    <s v="Revue : hors ligne, validation, médias et notifications"/>
    <s v="Test"/>
    <x v="0"/>
    <n v="30"/>
    <n v="0"/>
    <n v="30"/>
    <n v="0"/>
  </r>
  <r>
    <s v="Mise en place"/>
    <s v="Gestion Gel des fonctionnalites"/>
    <s v="gel"/>
    <s v="Corrections avant le gel (1)"/>
    <s v="Test"/>
    <x v="0"/>
    <n v="30"/>
    <n v="0"/>
    <n v="30"/>
    <n v="0"/>
  </r>
  <r>
    <s v="Mise en place"/>
    <s v="Gestion Gel des fonctionnalites"/>
    <s v="gel"/>
    <s v="Corrections avant le gel (2)"/>
    <s v="Test"/>
    <x v="0"/>
    <n v="30"/>
    <n v="0"/>
    <n v="30"/>
    <n v="0"/>
  </r>
  <r>
    <s v="Mise en place"/>
    <s v="Gestion Gel des fonctionnalites"/>
    <s v="gel"/>
    <s v="Nettoyer le code et les commentaires"/>
    <s v="Configuration"/>
    <x v="0"/>
    <n v="30"/>
    <n v="0"/>
    <n v="30"/>
    <n v="0"/>
  </r>
  <r>
    <s v="Mise en place"/>
    <s v="Gestion Gel des fonctionnalites"/>
    <s v="gel"/>
    <s v="Créer l'étiquette de version"/>
    <s v="Configuration"/>
    <x v="0"/>
    <n v="15"/>
    <n v="0"/>
    <n v="15"/>
    <n v="0"/>
  </r>
  <r>
    <s v="Mise en place"/>
    <s v="Gestion Gel des fonctionnalites"/>
    <s v="gel"/>
    <s v="Pousser sur GitHub"/>
    <s v="Configuration"/>
    <x v="0"/>
    <n v="15"/>
    <n v="0"/>
    <n v="15"/>
    <n v="0"/>
  </r>
  <r>
    <s v="Tests et recette"/>
    <s v="Gestion Tests"/>
    <s v="planTest"/>
    <s v="Lister les besoins BF-01 à BF-17"/>
    <s v="Test"/>
    <x v="0"/>
    <n v="30"/>
    <n v="0"/>
    <n v="30"/>
    <n v="0"/>
  </r>
  <r>
    <s v="Tests et recette"/>
    <s v="Gestion Tests"/>
    <s v="planTest"/>
    <s v="Colonnes du tableau (besoin, scénario, résultat attendu)"/>
    <s v="Test"/>
    <x v="0"/>
    <n v="30"/>
    <n v="0"/>
    <n v="30"/>
    <n v="0"/>
  </r>
  <r>
    <s v="Tests et recette"/>
    <s v="Gestion Tests"/>
    <s v="planTest"/>
    <s v="Scénarios BF-01 à BF-04"/>
    <s v="Test"/>
    <x v="0"/>
    <n v="30"/>
    <n v="0"/>
    <n v="30"/>
    <n v="0"/>
  </r>
  <r>
    <s v="Tests et recette"/>
    <s v="Gestion Tests"/>
    <s v="planTest"/>
    <s v="Scénarios BF-05 à BF-08"/>
    <s v="Test"/>
    <x v="0"/>
    <n v="30"/>
    <n v="0"/>
    <n v="30"/>
    <n v="0"/>
  </r>
  <r>
    <s v="Tests et recette"/>
    <s v="Gestion Tests"/>
    <s v="planTest"/>
    <s v="Scénarios BF-09 à BF-12"/>
    <s v="Test"/>
    <x v="0"/>
    <n v="30"/>
    <n v="0"/>
    <n v="30"/>
    <n v="0"/>
  </r>
  <r>
    <s v="Tests et recette"/>
    <s v="Gestion Tests"/>
    <s v="planTest"/>
    <s v="Scénarios BF-13 à BF-17"/>
    <s v="Test"/>
    <x v="0"/>
    <n v="30"/>
    <n v="0"/>
    <n v="30"/>
    <n v="0"/>
  </r>
  <r>
    <s v="Tests et recette"/>
    <s v="Gestion Tests"/>
    <s v="planTest"/>
    <s v="Résultats attendus"/>
    <s v="Test"/>
    <x v="0"/>
    <n v="30"/>
    <n v="0"/>
    <n v="30"/>
    <n v="0"/>
  </r>
  <r>
    <s v="Tests et recette"/>
    <s v="Gestion Tests"/>
    <s v="planTest"/>
    <s v="Données de test à utiliser"/>
    <s v="Test"/>
    <x v="0"/>
    <n v="30"/>
    <n v="0"/>
    <n v="30"/>
    <n v="0"/>
  </r>
  <r>
    <s v="Tests et recette"/>
    <s v="Gestion Tests"/>
    <s v="planTest"/>
    <s v="Relecture"/>
    <s v="Test"/>
    <x v="0"/>
    <n v="30"/>
    <n v="0"/>
    <n v="30"/>
    <n v="0"/>
  </r>
  <r>
    <s v="Tests et recette"/>
    <s v="Gestion Tests"/>
    <s v="planTest"/>
    <s v="Mise en page"/>
    <s v="Test"/>
    <x v="0"/>
    <n v="30"/>
    <n v="0"/>
    <n v="30"/>
    <n v="0"/>
  </r>
  <r>
    <s v="Tests et recette"/>
    <s v="Gestion Tests"/>
    <s v="testsRoles"/>
    <s v="Chercheur principal : connexion et profil"/>
    <s v="Test"/>
    <x v="0"/>
    <n v="30"/>
    <n v="0"/>
    <n v="30"/>
    <n v="0"/>
  </r>
  <r>
    <s v="Tests et recette"/>
    <s v="Gestion Tests"/>
    <s v="testsRoles"/>
    <s v="Chercheur principal : recherches et saisie"/>
    <s v="Test"/>
    <x v="0"/>
    <n v="30"/>
    <n v="0"/>
    <n v="30"/>
    <n v="0"/>
  </r>
  <r>
    <s v="Tests et recette"/>
    <s v="Gestion Tests"/>
    <s v="testsRoles"/>
    <s v="Chercheur principal : import, export et partage"/>
    <s v="Test"/>
    <x v="0"/>
    <n v="30"/>
    <n v="0"/>
    <n v="30"/>
    <n v="0"/>
  </r>
  <r>
    <s v="Tests et recette"/>
    <s v="Gestion Tests"/>
    <s v="testsRoles"/>
    <s v="Étudiant : parcours principal"/>
    <s v="Test"/>
    <x v="0"/>
    <n v="30"/>
    <n v="0"/>
    <n v="30"/>
    <n v="0"/>
  </r>
  <r>
    <s v="Tests et recette"/>
    <s v="Gestion Tests"/>
    <s v="testsRoles"/>
    <s v="Étudiant : limites de ses droits"/>
    <s v="Test"/>
    <x v="0"/>
    <n v="30"/>
    <n v="0"/>
    <n v="30"/>
    <n v="0"/>
  </r>
  <r>
    <s v="Tests et recette"/>
    <s v="Gestion Tests"/>
    <s v="testsRoles"/>
    <s v="Agent de saisie : saisie"/>
    <s v="Test"/>
    <x v="0"/>
    <n v="30"/>
    <n v="0"/>
    <n v="30"/>
    <n v="0"/>
  </r>
  <r>
    <s v="Tests et recette"/>
    <s v="Gestion Tests"/>
    <s v="testsRoles"/>
    <s v="Agent de saisie : attente de validation"/>
    <s v="Test"/>
    <x v="0"/>
    <n v="30"/>
    <n v="0"/>
    <n v="30"/>
    <n v="0"/>
  </r>
  <r>
    <s v="Tests et recette"/>
    <s v="Gestion Tests"/>
    <s v="testsRoles"/>
    <s v="Administrateur : utilisateurs et invitations"/>
    <s v="Test"/>
    <x v="0"/>
    <n v="30"/>
    <n v="0"/>
    <n v="30"/>
    <n v="0"/>
  </r>
  <r>
    <s v="Tests et recette"/>
    <s v="Gestion Tests"/>
    <s v="testsRoles"/>
    <s v="Administrateur : rôles et statuts"/>
    <s v="Test"/>
    <x v="0"/>
    <n v="30"/>
    <n v="0"/>
    <n v="30"/>
    <n v="0"/>
  </r>
  <r>
    <s v="Tests et recette"/>
    <s v="Gestion Tests"/>
    <s v="testsRoles"/>
    <s v="Vérifier les droits (données privées)"/>
    <s v="Test"/>
    <x v="0"/>
    <n v="30"/>
    <n v="0"/>
    <n v="30"/>
    <n v="0"/>
  </r>
  <r>
    <s v="Tests et recette"/>
    <s v="Gestion Tests"/>
    <s v="testsHorsLigne"/>
    <s v="Saisie hors ligne"/>
    <s v="Test"/>
    <x v="0"/>
    <n v="30"/>
    <n v="0"/>
    <n v="30"/>
    <n v="0"/>
  </r>
  <r>
    <s v="Tests et recette"/>
    <s v="Gestion Tests"/>
    <s v="testsHorsLigne"/>
    <s v="Plusieurs saisies"/>
    <s v="Test"/>
    <x v="0"/>
    <n v="30"/>
    <n v="0"/>
    <n v="30"/>
    <n v="0"/>
  </r>
  <r>
    <s v="Tests et recette"/>
    <s v="Gestion Tests"/>
    <s v="testsHorsLigne"/>
    <s v="Retour du réseau"/>
    <s v="Test"/>
    <x v="0"/>
    <n v="30"/>
    <n v="0"/>
    <n v="30"/>
    <n v="0"/>
  </r>
  <r>
    <s v="Tests et recette"/>
    <s v="Gestion Tests"/>
    <s v="testsHorsLigne"/>
    <s v="Aucune perte de données"/>
    <s v="Test"/>
    <x v="0"/>
    <n v="30"/>
    <n v="0"/>
    <n v="30"/>
    <n v="0"/>
  </r>
  <r>
    <s v="Tests et recette"/>
    <s v="Gestion Tests"/>
    <s v="testsHorsLigne"/>
    <s v="Aucun doublon"/>
    <s v="Test"/>
    <x v="0"/>
    <n v="30"/>
    <n v="0"/>
    <n v="30"/>
    <n v="0"/>
  </r>
  <r>
    <s v="Tests et recette"/>
    <s v="Gestion Tests"/>
    <s v="testsImport"/>
    <s v="Colonnes manquantes"/>
    <s v="Test"/>
    <x v="0"/>
    <n v="30"/>
    <n v="0"/>
    <n v="30"/>
    <n v="0"/>
  </r>
  <r>
    <s v="Tests et recette"/>
    <s v="Gestion Tests"/>
    <s v="testsImport"/>
    <s v="Doublons"/>
    <s v="Test"/>
    <x v="0"/>
    <n v="30"/>
    <n v="0"/>
    <n v="30"/>
    <n v="0"/>
  </r>
  <r>
    <s v="Tests et recette"/>
    <s v="Gestion Tests"/>
    <s v="testsImport"/>
    <s v="Dates mal formatées"/>
    <s v="Test"/>
    <x v="0"/>
    <n v="30"/>
    <n v="0"/>
    <n v="30"/>
    <n v="0"/>
  </r>
  <r>
    <s v="Tests et recette"/>
    <s v="Gestion Tests"/>
    <s v="testsImport"/>
    <s v="Caractères spéciaux"/>
    <s v="Test"/>
    <x v="0"/>
    <n v="30"/>
    <n v="0"/>
    <n v="30"/>
    <n v="0"/>
  </r>
  <r>
    <s v="Tests et recette"/>
    <s v="Gestion Tests"/>
    <s v="testsImport"/>
    <s v="Gros fichier"/>
    <s v="Test"/>
    <x v="0"/>
    <n v="30"/>
    <n v="0"/>
    <n v="30"/>
    <n v="0"/>
  </r>
  <r>
    <s v="Tests et recette"/>
    <s v="Gestion Tests"/>
    <s v="testsAuto"/>
    <s v="Authentification : connexion réussie"/>
    <s v="Test"/>
    <x v="0"/>
    <n v="30"/>
    <n v="0"/>
    <n v="30"/>
    <n v="0"/>
  </r>
  <r>
    <s v="Tests et recette"/>
    <s v="Gestion Tests"/>
    <s v="testsAuto"/>
    <s v="Authentification : connexion refusée"/>
    <s v="Test"/>
    <x v="0"/>
    <n v="30"/>
    <n v="0"/>
    <n v="30"/>
    <n v="0"/>
  </r>
  <r>
    <s v="Tests et recette"/>
    <s v="Gestion Tests"/>
    <s v="testsAuto"/>
    <s v="Authentification : accès sans jeton"/>
    <s v="Test"/>
    <x v="0"/>
    <n v="20"/>
    <n v="0"/>
    <n v="20"/>
    <n v="0"/>
  </r>
  <r>
    <s v="Tests et recette"/>
    <s v="Gestion Tests"/>
    <s v="testsAuto"/>
    <s v="Authentification : mauvais rôle"/>
    <s v="Test"/>
    <x v="0"/>
    <n v="20"/>
    <n v="0"/>
    <n v="20"/>
    <n v="0"/>
  </r>
  <r>
    <s v="Tests et recette"/>
    <s v="Gestion Tests"/>
    <s v="testsAuto"/>
    <s v="Droits : données d'un autre chercheur"/>
    <s v="Test"/>
    <x v="0"/>
    <n v="30"/>
    <n v="0"/>
    <n v="30"/>
    <n v="0"/>
  </r>
  <r>
    <s v="Tests et recette"/>
    <s v="Gestion Tests"/>
    <s v="testsAuto"/>
    <s v="Droits : un agent ne valide pas"/>
    <s v="Test"/>
    <x v="0"/>
    <n v="30"/>
    <n v="0"/>
    <n v="30"/>
    <n v="0"/>
  </r>
  <r>
    <s v="Tests et recette"/>
    <s v="Gestion Tests"/>
    <s v="testsAuto"/>
    <s v="Droits : un étudiant ne modifie pas le taxon"/>
    <s v="Test"/>
    <x v="0"/>
    <n v="20"/>
    <n v="0"/>
    <n v="20"/>
    <n v="0"/>
  </r>
  <r>
    <s v="Tests et recette"/>
    <s v="Gestion Tests"/>
    <s v="testsAuto"/>
    <s v="Droits : données partagées en lecture seule"/>
    <s v="Test"/>
    <x v="0"/>
    <n v="20"/>
    <n v="0"/>
    <n v="20"/>
    <n v="0"/>
  </r>
  <r>
    <s v="Tests et recette"/>
    <s v="Gestion Tests"/>
    <s v="testsAuto"/>
    <s v="ETL : fichier valide"/>
    <s v="Test"/>
    <x v="0"/>
    <n v="30"/>
    <n v="0"/>
    <n v="30"/>
    <n v="0"/>
  </r>
  <r>
    <s v="Tests et recette"/>
    <s v="Gestion Tests"/>
    <s v="testsAuto"/>
    <s v="ETL : fichier invalide"/>
    <s v="Test"/>
    <x v="0"/>
    <n v="30"/>
    <n v="0"/>
    <n v="30"/>
    <n v="0"/>
  </r>
  <r>
    <s v="Tests et recette"/>
    <s v="Gestion Tests"/>
    <s v="testsAuto"/>
    <s v="ETL : doublons"/>
    <s v="Test"/>
    <x v="0"/>
    <n v="20"/>
    <n v="0"/>
    <n v="20"/>
    <n v="0"/>
  </r>
  <r>
    <s v="Tests et recette"/>
    <s v="Gestion Tests"/>
    <s v="testsAuto"/>
    <s v="ETL : transaction annulée"/>
    <s v="Test"/>
    <x v="0"/>
    <n v="20"/>
    <n v="0"/>
    <n v="20"/>
    <n v="0"/>
  </r>
  <r>
    <s v="Tests et recette"/>
    <s v="Gestion Tests"/>
    <s v="corrections"/>
    <s v="Trier les anomalies par gravité"/>
    <s v="Metier"/>
    <x v="0"/>
    <n v="30"/>
    <n v="0"/>
    <n v="30"/>
    <n v="0"/>
  </r>
  <r>
    <s v="Tests et recette"/>
    <s v="Gestion Tests"/>
    <s v="corrections"/>
    <s v="Corriger : perte de données"/>
    <s v="Metier"/>
    <x v="0"/>
    <n v="30"/>
    <n v="0"/>
    <n v="30"/>
    <n v="0"/>
  </r>
  <r>
    <s v="Tests et recette"/>
    <s v="Gestion Tests"/>
    <s v="corrections"/>
    <s v="Corriger : failles d'accès"/>
    <s v="Metier"/>
    <x v="0"/>
    <n v="30"/>
    <n v="0"/>
    <n v="30"/>
    <n v="0"/>
  </r>
  <r>
    <s v="Tests et recette"/>
    <s v="Gestion Tests"/>
    <s v="corrections"/>
    <s v="Corriger : erreurs d'import"/>
    <s v="Metier"/>
    <x v="0"/>
    <n v="30"/>
    <n v="0"/>
    <n v="30"/>
    <n v="0"/>
  </r>
  <r>
    <s v="Tests et recette"/>
    <s v="Gestion Tests"/>
    <s v="corrections"/>
    <s v="Corriger : erreurs de saisie"/>
    <s v="Metier"/>
    <x v="0"/>
    <n v="30"/>
    <n v="0"/>
    <n v="30"/>
    <n v="0"/>
  </r>
  <r>
    <s v="Tests et recette"/>
    <s v="Gestion Tests"/>
    <s v="corrections"/>
    <s v="Corriger : erreurs de synchronisation"/>
    <s v="Metier"/>
    <x v="0"/>
    <n v="30"/>
    <n v="0"/>
    <n v="30"/>
    <n v="0"/>
  </r>
  <r>
    <s v="Tests et recette"/>
    <s v="Gestion Tests"/>
    <s v="corrections"/>
    <s v="Corriger : erreurs d'affichage"/>
    <s v="Metier"/>
    <x v="0"/>
    <n v="30"/>
    <n v="0"/>
    <n v="30"/>
    <n v="0"/>
  </r>
  <r>
    <s v="Tests et recette"/>
    <s v="Gestion Tests"/>
    <s v="corrections"/>
    <s v="Retester les corrections"/>
    <s v="Test"/>
    <x v="0"/>
    <n v="30"/>
    <n v="0"/>
    <n v="30"/>
    <n v="0"/>
  </r>
  <r>
    <s v="Tests et recette"/>
    <s v="Gestion Tests"/>
    <s v="corrections"/>
    <s v="Retester les parcours principaux"/>
    <s v="Test"/>
    <x v="0"/>
    <n v="30"/>
    <n v="0"/>
    <n v="30"/>
    <n v="0"/>
  </r>
  <r>
    <s v="Tests et recette"/>
    <s v="Gestion Tests"/>
    <s v="corrections"/>
    <s v="Mettre à jour le plan de test"/>
    <s v="Test"/>
    <x v="0"/>
    <n v="30"/>
    <n v="0"/>
    <n v="30"/>
    <n v="0"/>
  </r>
  <r>
    <s v="Tests et recette"/>
    <s v="Gestion Tests"/>
    <s v="corrections"/>
    <s v="Corriger : anomalies mineures d'affichage"/>
    <s v="Metier"/>
    <x v="0"/>
    <n v="30"/>
    <n v="0"/>
    <n v="30"/>
    <n v="0"/>
  </r>
  <r>
    <s v="Tests et recette"/>
    <s v="Gestion Tests"/>
    <s v="corrections"/>
    <s v="Corriger : textes et traductions"/>
    <s v="Metier"/>
    <x v="0"/>
    <n v="30"/>
    <n v="0"/>
    <n v="30"/>
    <n v="0"/>
  </r>
  <r>
    <s v="Tests et recette"/>
    <s v="Gestion Tests"/>
    <s v="corrections"/>
    <s v="Corriger : mode sombre"/>
    <s v="Metier"/>
    <x v="0"/>
    <n v="30"/>
    <n v="0"/>
    <n v="30"/>
    <n v="0"/>
  </r>
  <r>
    <s v="Tests et recette"/>
    <s v="Gestion Tests"/>
    <s v="corrections"/>
    <s v="Corriger : messages d'erreur"/>
    <s v="Metier"/>
    <x v="0"/>
    <n v="30"/>
    <n v="0"/>
    <n v="30"/>
    <n v="0"/>
  </r>
  <r>
    <s v="Tests et recette"/>
    <s v="Gestion Tests"/>
    <s v="corrections"/>
    <s v="Corriger : performances"/>
    <s v="Metier"/>
    <x v="0"/>
    <n v="30"/>
    <n v="0"/>
    <n v="30"/>
    <n v="0"/>
  </r>
  <r>
    <s v="Tests et recette"/>
    <s v="Gestion Tests"/>
    <s v="corrections"/>
    <s v="Retester les anomalies restantes"/>
    <s v="Test"/>
    <x v="0"/>
    <n v="30"/>
    <n v="0"/>
    <n v="30"/>
    <n v="0"/>
  </r>
  <r>
    <s v="Tests et recette"/>
    <s v="Gestion Recette"/>
    <s v="recette"/>
    <s v="Jeu de données de démonstration"/>
    <s v="Test"/>
    <x v="0"/>
    <n v="30"/>
    <n v="0"/>
    <n v="30"/>
    <n v="0"/>
  </r>
  <r>
    <s v="Tests et recette"/>
    <s v="Gestion Recette"/>
    <s v="recette"/>
    <s v="Scénario de démonstration"/>
    <s v="Test"/>
    <x v="0"/>
    <n v="30"/>
    <n v="0"/>
    <n v="30"/>
    <n v="0"/>
  </r>
  <r>
    <s v="Tests et recette"/>
    <s v="Gestion Recette"/>
    <s v="recette"/>
    <s v="Répéter la démonstration"/>
    <s v="Test"/>
    <x v="0"/>
    <n v="30"/>
    <n v="0"/>
    <n v="30"/>
    <n v="0"/>
  </r>
  <r>
    <s v="Tests et recette"/>
    <s v="Gestion Recette"/>
    <s v="recette"/>
    <s v="Préparer les comptes de démonstration"/>
    <s v="Test"/>
    <x v="0"/>
    <n v="30"/>
    <n v="0"/>
    <n v="30"/>
    <n v="0"/>
  </r>
  <r>
    <s v="Tests et recette"/>
    <s v="Gestion Recette"/>
    <s v="recette"/>
    <s v="Présenter l'application"/>
    <s v="Test"/>
    <x v="0"/>
    <n v="30"/>
    <n v="0"/>
    <n v="30"/>
    <n v="0"/>
  </r>
  <r>
    <s v="Tests et recette"/>
    <s v="Gestion Recette"/>
    <s v="recette"/>
    <s v="Démonstration : recherches et saisie"/>
    <s v="Test"/>
    <x v="0"/>
    <n v="30"/>
    <n v="0"/>
    <n v="30"/>
    <n v="0"/>
  </r>
  <r>
    <s v="Tests et recette"/>
    <s v="Gestion Recette"/>
    <s v="recette"/>
    <s v="Démonstration : import et export"/>
    <s v="Test"/>
    <x v="0"/>
    <n v="30"/>
    <n v="0"/>
    <n v="30"/>
    <n v="0"/>
  </r>
  <r>
    <s v="Tests et recette"/>
    <s v="Gestion Recette"/>
    <s v="recette"/>
    <s v="Démonstration : tableaux personnalisés"/>
    <s v="Test"/>
    <x v="0"/>
    <n v="30"/>
    <n v="0"/>
    <n v="30"/>
    <n v="0"/>
  </r>
  <r>
    <s v="Tests et recette"/>
    <s v="Gestion Recette"/>
    <s v="recette"/>
    <s v="Démonstration : hors ligne"/>
    <s v="Test"/>
    <x v="0"/>
    <n v="30"/>
    <n v="0"/>
    <n v="30"/>
    <n v="0"/>
  </r>
  <r>
    <s v="Tests et recette"/>
    <s v="Gestion Recette"/>
    <s v="recette"/>
    <s v="Démonstration : validation et partage"/>
    <s v="Test"/>
    <x v="0"/>
    <n v="30"/>
    <n v="0"/>
    <n v="30"/>
    <n v="0"/>
  </r>
  <r>
    <s v="Tests et recette"/>
    <s v="Gestion Recette"/>
    <s v="recette"/>
    <s v="Questions et retours des utilisateurs"/>
    <s v="Test"/>
    <x v="0"/>
    <n v="30"/>
    <n v="0"/>
    <n v="30"/>
    <n v="0"/>
  </r>
  <r>
    <s v="Tests et recette"/>
    <s v="Gestion Recette"/>
    <s v="recette"/>
    <s v="Prendre des notes"/>
    <s v="Gestion"/>
    <x v="0"/>
    <n v="30"/>
    <n v="0"/>
    <n v="30"/>
    <n v="0"/>
  </r>
  <r>
    <s v="Tests et recette"/>
    <s v="Gestion Recette"/>
    <s v="recette"/>
    <s v="Lister les corrections demandées"/>
    <s v="Gestion"/>
    <x v="0"/>
    <n v="30"/>
    <n v="0"/>
    <n v="30"/>
    <n v="0"/>
  </r>
  <r>
    <s v="Tests et recette"/>
    <s v="Gestion Recette"/>
    <s v="recette"/>
    <s v="Prioriser les corrections"/>
    <s v="Gestion"/>
    <x v="0"/>
    <n v="30"/>
    <n v="0"/>
    <n v="30"/>
    <n v="0"/>
  </r>
  <r>
    <s v="Tests et recette"/>
    <s v="Gestion Recette"/>
    <s v="recette"/>
    <s v="Corriger : retours sur les recherches"/>
    <s v="Metier"/>
    <x v="0"/>
    <n v="30"/>
    <n v="0"/>
    <n v="30"/>
    <n v="0"/>
  </r>
  <r>
    <s v="Tests et recette"/>
    <s v="Gestion Recette"/>
    <s v="recette"/>
    <s v="Corriger : retours sur la saisie"/>
    <s v="Metier"/>
    <x v="0"/>
    <n v="30"/>
    <n v="0"/>
    <n v="30"/>
    <n v="0"/>
  </r>
  <r>
    <s v="Tests et recette"/>
    <s v="Gestion Recette"/>
    <s v="recette"/>
    <s v="Corriger : retours sur l'import et l'export"/>
    <s v="Metier"/>
    <x v="0"/>
    <n v="30"/>
    <n v="0"/>
    <n v="30"/>
    <n v="0"/>
  </r>
  <r>
    <s v="Tests et recette"/>
    <s v="Gestion Recette"/>
    <s v="recette"/>
    <s v="Corriger : retours sur les tableaux personnalisés"/>
    <s v="Metier"/>
    <x v="0"/>
    <n v="30"/>
    <n v="0"/>
    <n v="30"/>
    <n v="0"/>
  </r>
  <r>
    <s v="Tests et recette"/>
    <s v="Gestion Recette"/>
    <s v="recette"/>
    <s v="Corriger : retours sur le hors ligne"/>
    <s v="Metier"/>
    <x v="0"/>
    <n v="30"/>
    <n v="0"/>
    <n v="30"/>
    <n v="0"/>
  </r>
  <r>
    <s v="Tests et recette"/>
    <s v="Gestion Recette"/>
    <s v="recette"/>
    <s v="Corriger : retours sur la validation et le partage"/>
    <s v="Metier"/>
    <x v="0"/>
    <n v="30"/>
    <n v="0"/>
    <n v="30"/>
    <n v="0"/>
  </r>
  <r>
    <s v="Tests et recette"/>
    <s v="Gestion Recette"/>
    <s v="recette"/>
    <s v="Corriger : retours sur l'interface"/>
    <s v="Metier"/>
    <x v="0"/>
    <n v="30"/>
    <n v="0"/>
    <n v="30"/>
    <n v="0"/>
  </r>
  <r>
    <s v="Tests et recette"/>
    <s v="Gestion Recette"/>
    <s v="recette"/>
    <s v="Corriger : textes et traductions"/>
    <s v="Metier"/>
    <x v="0"/>
    <n v="30"/>
    <n v="0"/>
    <n v="30"/>
    <n v="0"/>
  </r>
  <r>
    <s v="Tests et recette"/>
    <s v="Gestion Recette"/>
    <s v="recette"/>
    <s v="Retester les corrections (1)"/>
    <s v="Test"/>
    <x v="0"/>
    <n v="30"/>
    <n v="0"/>
    <n v="30"/>
    <n v="0"/>
  </r>
  <r>
    <s v="Tests et recette"/>
    <s v="Gestion Recette"/>
    <s v="recette"/>
    <s v="Retester les corrections (2)"/>
    <s v="Test"/>
    <x v="0"/>
    <n v="30"/>
    <n v="0"/>
    <n v="30"/>
    <n v="0"/>
  </r>
  <r>
    <s v="Tests et recette"/>
    <s v="Gestion Recette"/>
    <s v="recette"/>
    <s v="Re-test rapide : parcours principal"/>
    <s v="Test"/>
    <x v="0"/>
    <n v="30"/>
    <n v="0"/>
    <n v="30"/>
    <n v="0"/>
  </r>
  <r>
    <s v="Tests et recette"/>
    <s v="Gestion Recette"/>
    <s v="recette"/>
    <s v="Re-test rapide : import et hors ligne"/>
    <s v="Test"/>
    <x v="0"/>
    <n v="30"/>
    <n v="0"/>
    <n v="30"/>
    <n v="0"/>
  </r>
  <r>
    <s v="Tests et recette"/>
    <s v="Gestion Recette"/>
    <s v="recette"/>
    <s v="Re-test rapide : droits"/>
    <s v="Test"/>
    <x v="0"/>
    <n v="30"/>
    <n v="0"/>
    <n v="30"/>
    <n v="0"/>
  </r>
  <r>
    <s v="Tests et recette"/>
    <s v="Gestion Recette"/>
    <s v="recette"/>
    <s v="Rédiger le procès-verbal de recette"/>
    <s v="Gestion"/>
    <x v="0"/>
    <n v="30"/>
    <n v="0"/>
    <n v="30"/>
    <n v="0"/>
  </r>
  <r>
    <s v="Tests et recette"/>
    <s v="Gestion Recette"/>
    <s v="recette"/>
    <s v="Faire valider le procès-verbal (e-mail)"/>
    <s v="Gestion"/>
    <x v="0"/>
    <n v="30"/>
    <n v="0"/>
    <n v="30"/>
    <n v="0"/>
  </r>
  <r>
    <s v="Mise en production"/>
    <s v="Gestion Deploiement"/>
    <s v="docker"/>
    <s v="docker-compose : service frontend"/>
    <s v="Deploiement"/>
    <x v="0"/>
    <n v="30"/>
    <n v="0"/>
    <n v="30"/>
    <n v="0"/>
  </r>
  <r>
    <s v="Mise en production"/>
    <s v="Gestion Deploiement"/>
    <s v="docker"/>
    <s v="docker-compose : service backend"/>
    <s v="Deploiement"/>
    <x v="0"/>
    <n v="30"/>
    <n v="0"/>
    <n v="30"/>
    <n v="0"/>
  </r>
  <r>
    <s v="Mise en production"/>
    <s v="Gestion Deploiement"/>
    <s v="docker"/>
    <s v="docker-compose : service PostgreSQL"/>
    <s v="Deploiement"/>
    <x v="0"/>
    <n v="30"/>
    <n v="0"/>
    <n v="30"/>
    <n v="0"/>
  </r>
  <r>
    <s v="Mise en production"/>
    <s v="Gestion Deploiement"/>
    <s v="docker"/>
    <s v="docker-compose : service MinIO"/>
    <s v="Deploiement"/>
    <x v="0"/>
    <n v="30"/>
    <n v="0"/>
    <n v="30"/>
    <n v="0"/>
  </r>
  <r>
    <s v="Mise en production"/>
    <s v="Gestion Deploiement"/>
    <s v="docker"/>
    <s v="docker-compose : service ETL"/>
    <s v="Deploiement"/>
    <x v="0"/>
    <n v="30"/>
    <n v="0"/>
    <n v="30"/>
    <n v="0"/>
  </r>
  <r>
    <s v="Mise en production"/>
    <s v="Gestion Deploiement"/>
    <s v="docker"/>
    <s v="docker-compose : réseau et volumes"/>
    <s v="Deploiement"/>
    <x v="0"/>
    <n v="30"/>
    <n v="0"/>
    <n v="30"/>
    <n v="0"/>
  </r>
  <r>
    <s v="Mise en production"/>
    <s v="Gestion Deploiement"/>
    <s v="docker"/>
    <s v="Fichier .env"/>
    <s v="Deploiement"/>
    <x v="0"/>
    <n v="30"/>
    <n v="0"/>
    <n v="30"/>
    <n v="0"/>
  </r>
  <r>
    <s v="Mise en production"/>
    <s v="Gestion Deploiement"/>
    <s v="docker"/>
    <s v="Retirer les mots de passe du code"/>
    <s v="Deploiement"/>
    <x v="0"/>
    <n v="30"/>
    <n v="0"/>
    <n v="30"/>
    <n v="0"/>
  </r>
  <r>
    <s v="Mise en production"/>
    <s v="Gestion Deploiement"/>
    <s v="docker"/>
    <s v="Cloner le dépôt sur une machine vierge"/>
    <s v="Test"/>
    <x v="0"/>
    <n v="15"/>
    <n v="0"/>
    <n v="15"/>
    <n v="0"/>
  </r>
  <r>
    <s v="Mise en production"/>
    <s v="Gestion Deploiement"/>
    <s v="docker"/>
    <s v="Lancer docker compose"/>
    <s v="Test"/>
    <x v="0"/>
    <n v="15"/>
    <n v="0"/>
    <n v="15"/>
    <n v="0"/>
  </r>
  <r>
    <s v="Mise en production"/>
    <s v="Gestion Deploiement"/>
    <s v="docker"/>
    <s v="Vérifier chaque service"/>
    <s v="Test"/>
    <x v="0"/>
    <n v="30"/>
    <n v="0"/>
    <n v="30"/>
    <n v="0"/>
  </r>
  <r>
    <s v="Mise en production"/>
    <s v="Gestion Deploiement"/>
    <s v="deploiement"/>
    <s v="Préparer le serveur"/>
    <s v="Deploiement"/>
    <x v="0"/>
    <n v="30"/>
    <n v="0"/>
    <n v="30"/>
    <n v="0"/>
  </r>
  <r>
    <s v="Mise en production"/>
    <s v="Gestion Deploiement"/>
    <s v="deploiement"/>
    <s v="Copier le projet"/>
    <s v="Deploiement"/>
    <x v="0"/>
    <n v="30"/>
    <n v="0"/>
    <n v="30"/>
    <n v="0"/>
  </r>
  <r>
    <s v="Mise en production"/>
    <s v="Gestion Deploiement"/>
    <s v="deploiement"/>
    <s v="Variables d'environnement du serveur"/>
    <s v="Deploiement"/>
    <x v="0"/>
    <n v="30"/>
    <n v="0"/>
    <n v="30"/>
    <n v="0"/>
  </r>
  <r>
    <s v="Mise en production"/>
    <s v="Gestion Deploiement"/>
    <s v="deploiement"/>
    <s v="Lancer les services"/>
    <s v="Deploiement"/>
    <x v="0"/>
    <n v="30"/>
    <n v="0"/>
    <n v="30"/>
    <n v="0"/>
  </r>
  <r>
    <s v="Mise en production"/>
    <s v="Gestion Deploiement"/>
    <s v="deploiement"/>
    <s v="Nom de domaine ou adresse"/>
    <s v="Deploiement"/>
    <x v="0"/>
    <n v="30"/>
    <n v="0"/>
    <n v="30"/>
    <n v="0"/>
  </r>
  <r>
    <s v="Mise en production"/>
    <s v="Gestion Deploiement"/>
    <s v="deploiement"/>
    <s v="Sécuriser (HTTPS)"/>
    <s v="Deploiement"/>
    <x v="0"/>
    <n v="30"/>
    <n v="0"/>
    <n v="30"/>
    <n v="0"/>
  </r>
  <r>
    <s v="Mise en production"/>
    <s v="Gestion Deploiement"/>
    <s v="deploiement"/>
    <s v="Test en conditions réelles : connexion"/>
    <s v="Test"/>
    <x v="0"/>
    <n v="30"/>
    <n v="0"/>
    <n v="30"/>
    <n v="0"/>
  </r>
  <r>
    <s v="Mise en production"/>
    <s v="Gestion Deploiement"/>
    <s v="deploiement"/>
    <s v="Test en conditions réelles : saisie"/>
    <s v="Test"/>
    <x v="0"/>
    <n v="30"/>
    <n v="0"/>
    <n v="30"/>
    <n v="0"/>
  </r>
  <r>
    <s v="Mise en production"/>
    <s v="Gestion Deploiement"/>
    <s v="deploiement"/>
    <s v="Test en conditions réelles : import"/>
    <s v="Test"/>
    <x v="0"/>
    <n v="30"/>
    <n v="0"/>
    <n v="30"/>
    <n v="0"/>
  </r>
  <r>
    <s v="Mise en production"/>
    <s v="Gestion Deploiement"/>
    <s v="deploiement"/>
    <s v="Test en conditions réelles : médias"/>
    <s v="Test"/>
    <x v="0"/>
    <n v="30"/>
    <n v="0"/>
    <n v="30"/>
    <n v="0"/>
  </r>
  <r>
    <s v="Mise en production"/>
    <s v="Gestion Documentation"/>
    <s v="docTechnique"/>
    <s v="Installation : prérequis"/>
    <s v="Redaction"/>
    <x v="0"/>
    <n v="30"/>
    <n v="0"/>
    <n v="30"/>
    <n v="0"/>
  </r>
  <r>
    <s v="Mise en production"/>
    <s v="Gestion Documentation"/>
    <s v="docTechnique"/>
    <s v="Installation : étapes"/>
    <s v="Redaction"/>
    <x v="0"/>
    <n v="30"/>
    <n v="0"/>
    <n v="30"/>
    <n v="0"/>
  </r>
  <r>
    <s v="Mise en production"/>
    <s v="Gestion Documentation"/>
    <s v="docTechnique"/>
    <s v="Installation : premier démarrage"/>
    <s v="Redaction"/>
    <x v="0"/>
    <n v="30"/>
    <n v="0"/>
    <n v="30"/>
    <n v="0"/>
  </r>
  <r>
    <s v="Mise en production"/>
    <s v="Gestion Documentation"/>
    <s v="docTechnique"/>
    <s v="Architecture : schéma"/>
    <s v="Redaction"/>
    <x v="0"/>
    <n v="30"/>
    <n v="0"/>
    <n v="30"/>
    <n v="0"/>
  </r>
  <r>
    <s v="Mise en production"/>
    <s v="Gestion Documentation"/>
    <s v="docTechnique"/>
    <s v="Architecture : rôle de chaque composant"/>
    <s v="Redaction"/>
    <x v="0"/>
    <n v="30"/>
    <n v="0"/>
    <n v="30"/>
    <n v="0"/>
  </r>
  <r>
    <s v="Mise en production"/>
    <s v="Gestion Documentation"/>
    <s v="docTechnique"/>
    <s v="Architecture : flux de données"/>
    <s v="Redaction"/>
    <x v="0"/>
    <n v="30"/>
    <n v="0"/>
    <n v="30"/>
    <n v="0"/>
  </r>
  <r>
    <s v="Mise en production"/>
    <s v="Gestion Documentation"/>
    <s v="docTechnique"/>
    <s v="Configuration : variables d'environnement"/>
    <s v="Redaction"/>
    <x v="0"/>
    <n v="30"/>
    <n v="0"/>
    <n v="30"/>
    <n v="0"/>
  </r>
  <r>
    <s v="Mise en production"/>
    <s v="Gestion Documentation"/>
    <s v="docTechnique"/>
    <s v="Configuration : e-mail et MinIO"/>
    <s v="Redaction"/>
    <x v="0"/>
    <n v="30"/>
    <n v="0"/>
    <n v="30"/>
    <n v="0"/>
  </r>
  <r>
    <s v="Mise en production"/>
    <s v="Gestion Documentation"/>
    <s v="docTechnique"/>
    <s v="Lancer et arrêter l'application"/>
    <s v="Redaction"/>
    <x v="0"/>
    <n v="30"/>
    <n v="0"/>
    <n v="30"/>
    <n v="0"/>
  </r>
  <r>
    <s v="Mise en production"/>
    <s v="Gestion Documentation"/>
    <s v="docTechnique"/>
    <s v="Sauvegarder et restaurer la base"/>
    <s v="Redaction"/>
    <x v="0"/>
    <n v="30"/>
    <n v="0"/>
    <n v="30"/>
    <n v="0"/>
  </r>
  <r>
    <s v="Mise en production"/>
    <s v="Gestion Livrables"/>
    <s v="livrables"/>
    <s v="Lister les livrables"/>
    <s v="Gestion"/>
    <x v="0"/>
    <n v="15"/>
    <n v="0"/>
    <n v="15"/>
    <n v="0"/>
  </r>
  <r>
    <s v="Mise en production"/>
    <s v="Gestion Livrables"/>
    <s v="livrables"/>
    <s v="Rassembler les fichiers"/>
    <s v="Gestion"/>
    <x v="0"/>
    <n v="30"/>
    <n v="0"/>
    <n v="30"/>
    <n v="0"/>
  </r>
  <r>
    <s v="Mise en production"/>
    <s v="Gestion Livrables"/>
    <s v="livrables"/>
    <s v="Remettre à l'encadrant"/>
    <s v="Gestion"/>
    <x v="0"/>
    <n v="15"/>
    <n v="0"/>
    <n v="15"/>
    <n v="0"/>
  </r>
  <r>
    <s v="Mise en production"/>
    <s v="Gestion Livrables"/>
    <s v="soutenance"/>
    <s v="Diapositives : plan"/>
    <s v="Redaction"/>
    <x v="0"/>
    <n v="30"/>
    <n v="0"/>
    <n v="30"/>
    <n v="0"/>
  </r>
  <r>
    <s v="Mise en production"/>
    <s v="Gestion Livrables"/>
    <s v="soutenance"/>
    <s v="Diapositives : contexte et objectifs"/>
    <s v="Redaction"/>
    <x v="0"/>
    <n v="30"/>
    <n v="0"/>
    <n v="30"/>
    <n v="0"/>
  </r>
  <r>
    <s v="Mise en production"/>
    <s v="Gestion Livrables"/>
    <s v="soutenance"/>
    <s v="Diapositives : conception"/>
    <s v="Redaction"/>
    <x v="0"/>
    <n v="30"/>
    <n v="0"/>
    <n v="30"/>
    <n v="0"/>
  </r>
  <r>
    <s v="Mise en production"/>
    <s v="Gestion Livrables"/>
    <s v="soutenance"/>
    <s v="Diapositives : réalisation"/>
    <s v="Redaction"/>
    <x v="0"/>
    <n v="30"/>
    <n v="0"/>
    <n v="30"/>
    <n v="0"/>
  </r>
  <r>
    <s v="Mise en production"/>
    <s v="Gestion Livrables"/>
    <s v="soutenance"/>
    <s v="Diapositives : tests et résultats"/>
    <s v="Redaction"/>
    <x v="0"/>
    <n v="30"/>
    <n v="0"/>
    <n v="30"/>
    <n v="0"/>
  </r>
  <r>
    <s v="Mise en production"/>
    <s v="Gestion Livrables"/>
    <s v="soutenance"/>
    <s v="Diapositives : conclusion et perspectives"/>
    <s v="Redaction"/>
    <x v="0"/>
    <n v="30"/>
    <n v="0"/>
    <n v="30"/>
    <n v="0"/>
  </r>
  <r>
    <s v="Mise en production"/>
    <s v="Gestion Livrables"/>
    <s v="soutenance"/>
    <s v="Écrire le scénario de démonstration"/>
    <s v="Redaction"/>
    <x v="0"/>
    <n v="30"/>
    <n v="0"/>
    <n v="30"/>
    <n v="0"/>
  </r>
  <r>
    <s v="Mise en production"/>
    <s v="Gestion Livrables"/>
    <s v="soutenance"/>
    <s v="Préparer les données de démonstration"/>
    <s v="Redaction"/>
    <x v="0"/>
    <n v="30"/>
    <n v="0"/>
    <n v="30"/>
    <n v="0"/>
  </r>
  <r>
    <s v="Mise en production"/>
    <s v="Gestion Livrables"/>
    <s v="soutenance"/>
    <s v="Vidéo de secours : enregistrer l'écran"/>
    <s v="Redaction"/>
    <x v="0"/>
    <n v="30"/>
    <n v="0"/>
    <n v="30"/>
    <n v="0"/>
  </r>
  <r>
    <s v="Mise en production"/>
    <s v="Gestion Livrables"/>
    <s v="soutenance"/>
    <s v="Vidéo de secours : montage et export"/>
    <s v="Redaction"/>
    <x v="0"/>
    <n v="30"/>
    <n v="0"/>
    <n v="30"/>
    <n v="0"/>
  </r>
  <r>
    <s v="Mise en production"/>
    <s v="Gestion Livrables"/>
    <s v="soutenance"/>
    <s v="Première répétition"/>
    <s v="Gestion"/>
    <x v="0"/>
    <n v="30"/>
    <n v="0"/>
    <n v="30"/>
    <n v="0"/>
  </r>
  <r>
    <s v="Mise en production"/>
    <s v="Gestion Livrables"/>
    <s v="soutenance"/>
    <s v="Corriger le timing"/>
    <s v="Gestion"/>
    <x v="0"/>
    <n v="30"/>
    <n v="0"/>
    <n v="30"/>
    <n v="0"/>
  </r>
  <r>
    <s v="Mise en production"/>
    <s v="Gestion Livrables"/>
    <s v="soutenance"/>
    <s v="Deuxième répétition"/>
    <s v="Gestion"/>
    <x v="0"/>
    <n v="30"/>
    <n v="0"/>
    <n v="30"/>
    <n v="0"/>
  </r>
  <r>
    <s v="Mise en production"/>
    <s v="Gestion Livrables"/>
    <s v="soutenance"/>
    <s v="Préparer les questions possibles"/>
    <s v="Gestion"/>
    <x v="0"/>
    <n v="30"/>
    <n v="0"/>
    <n v="30"/>
    <n v="0"/>
  </r>
  <r>
    <s v="Mise en production"/>
    <s v="Gestion Livrables"/>
    <s v="livrables"/>
    <s v="Vérifier chaque livrable"/>
    <s v="Gestion"/>
    <x v="0"/>
    <n v="30"/>
    <n v="0"/>
    <n v="30"/>
    <n v="0"/>
  </r>
  <r>
    <s v="Mise en production"/>
    <s v="Gestion Livrables"/>
    <s v="livrables"/>
    <s v="Vérifier les accès GitHub et le serveur"/>
    <s v="Gestion"/>
    <x v="0"/>
    <n v="30"/>
    <n v="0"/>
    <n v="30"/>
    <n v="0"/>
  </r>
  <r>
    <s v="Guide d'utilisation"/>
    <s v="Gestion Guide"/>
    <s v="guide"/>
    <s v="Captures : connexion"/>
    <s v="Redaction"/>
    <x v="0"/>
    <n v="30"/>
    <n v="0"/>
    <n v="30"/>
    <n v="0"/>
  </r>
  <r>
    <s v="Guide d'utilisation"/>
    <s v="Gestion Guide"/>
    <s v="guide"/>
    <s v="Captures : recherches"/>
    <s v="Redaction"/>
    <x v="0"/>
    <n v="30"/>
    <n v="0"/>
    <n v="30"/>
    <n v="0"/>
  </r>
  <r>
    <s v="Guide d'utilisation"/>
    <s v="Gestion Guide"/>
    <s v="guide"/>
    <s v="Captures : saisie"/>
    <s v="Redaction"/>
    <x v="0"/>
    <n v="30"/>
    <n v="0"/>
    <n v="30"/>
    <n v="0"/>
  </r>
  <r>
    <s v="Guide d'utilisation"/>
    <s v="Gestion Guide"/>
    <s v="guide"/>
    <s v="Captures : import"/>
    <s v="Redaction"/>
    <x v="0"/>
    <n v="30"/>
    <n v="0"/>
    <n v="30"/>
    <n v="0"/>
  </r>
  <r>
    <s v="Guide d'utilisation"/>
    <s v="Gestion Guide"/>
    <s v="guide"/>
    <s v="Captures : tableaux personnalisés"/>
    <s v="Redaction"/>
    <x v="0"/>
    <n v="30"/>
    <n v="0"/>
    <n v="30"/>
    <n v="0"/>
  </r>
  <r>
    <s v="Guide d'utilisation"/>
    <s v="Gestion Guide"/>
    <s v="guide"/>
    <s v="Captures : hors ligne"/>
    <s v="Redaction"/>
    <x v="0"/>
    <n v="30"/>
    <n v="0"/>
    <n v="30"/>
    <n v="0"/>
  </r>
  <r>
    <s v="Guide d'utilisation"/>
    <s v="Gestion Guide"/>
    <s v="guide"/>
    <s v="Captures : validation"/>
    <s v="Redaction"/>
    <x v="0"/>
    <n v="30"/>
    <n v="0"/>
    <n v="30"/>
    <n v="0"/>
  </r>
  <r>
    <s v="Guide d'utilisation"/>
    <s v="Gestion Guide"/>
    <s v="guide"/>
    <s v="Captures : partage et export"/>
    <s v="Redaction"/>
    <x v="0"/>
    <n v="30"/>
    <n v="0"/>
    <n v="30"/>
    <n v="0"/>
  </r>
  <r>
    <s v="Guide d'utilisation"/>
    <s v="Gestion Guide"/>
    <s v="guide"/>
    <s v="Captures : médias"/>
    <s v="Redaction"/>
    <x v="0"/>
    <n v="30"/>
    <n v="0"/>
    <n v="30"/>
    <n v="0"/>
  </r>
  <r>
    <s v="Guide d'utilisation"/>
    <s v="Gestion Guide"/>
    <s v="guide"/>
    <s v="Captures : notifications et profil"/>
    <s v="Redaction"/>
    <x v="0"/>
    <n v="30"/>
    <n v="0"/>
    <n v="30"/>
    <n v="0"/>
  </r>
  <r>
    <s v="Guide d'utilisation"/>
    <s v="Gestion Guide"/>
    <s v="guide"/>
    <s v="Plan du guide : liste des chapitres"/>
    <s v="Redaction"/>
    <x v="0"/>
    <n v="30"/>
    <n v="0"/>
    <n v="30"/>
    <n v="0"/>
  </r>
  <r>
    <s v="Guide d'utilisation"/>
    <s v="Gestion Guide"/>
    <s v="guide"/>
    <s v="Plan du guide : structure d'un chapitre"/>
    <s v="Redaction"/>
    <x v="0"/>
    <n v="30"/>
    <n v="0"/>
    <n v="30"/>
    <n v="0"/>
  </r>
  <r>
    <s v="Guide d'utilisation"/>
    <s v="Gestion Guide"/>
    <s v="guide"/>
    <s v="Chapitre 1 (se connecter et créer son mot de passe) : à quoi ça sert et étapes numérotées"/>
    <s v="Redaction"/>
    <x v="0"/>
    <n v="30"/>
    <n v="0"/>
    <n v="30"/>
    <n v="0"/>
  </r>
  <r>
    <s v="Guide d'utilisation"/>
    <s v="Gestion Guide"/>
    <s v="guide"/>
    <s v="Chapitre 1 : captures et erreurs fréquentes"/>
    <s v="Redaction"/>
    <x v="0"/>
    <n v="30"/>
    <n v="0"/>
    <n v="30"/>
    <n v="0"/>
  </r>
  <r>
    <s v="Guide d'utilisation"/>
    <s v="Gestion Guide"/>
    <s v="guide"/>
    <s v="Chapitre 2 (créer une recherche et un dataset) : à quoi ça sert et étapes numérotées"/>
    <s v="Redaction"/>
    <x v="0"/>
    <n v="30"/>
    <n v="0"/>
    <n v="30"/>
    <n v="0"/>
  </r>
  <r>
    <s v="Guide d'utilisation"/>
    <s v="Gestion Guide"/>
    <s v="guide"/>
    <s v="Chapitre 2 : captures et erreurs fréquentes"/>
    <s v="Redaction"/>
    <x v="0"/>
    <n v="30"/>
    <n v="0"/>
    <n v="30"/>
    <n v="0"/>
  </r>
  <r>
    <s v="Guide d'utilisation"/>
    <s v="Gestion Guide"/>
    <s v="guide"/>
    <s v="Chapitre 3 (saisir une donnée) : à quoi ça sert et étapes numérotées"/>
    <s v="Redaction"/>
    <x v="0"/>
    <n v="30"/>
    <n v="0"/>
    <n v="30"/>
    <n v="0"/>
  </r>
  <r>
    <s v="Guide d'utilisation"/>
    <s v="Gestion Guide"/>
    <s v="guide"/>
    <s v="Chapitre 3 : captures et erreurs fréquentes"/>
    <s v="Redaction"/>
    <x v="0"/>
    <n v="30"/>
    <n v="0"/>
    <n v="30"/>
    <n v="0"/>
  </r>
  <r>
    <s v="Guide d'utilisation"/>
    <s v="Gestion Guide"/>
    <s v="guide"/>
    <s v="Chapitre 4 (importer un fichier et lire le rapport d'erreurs) : à quoi ça sert et étapes numérotées"/>
    <s v="Redaction"/>
    <x v="0"/>
    <n v="30"/>
    <n v="0"/>
    <n v="30"/>
    <n v="0"/>
  </r>
  <r>
    <s v="Guide d'utilisation"/>
    <s v="Gestion Guide"/>
    <s v="guide"/>
    <s v="Chapitre 4 : captures et erreurs fréquentes"/>
    <s v="Redaction"/>
    <x v="0"/>
    <n v="30"/>
    <n v="0"/>
    <n v="30"/>
    <n v="0"/>
  </r>
  <r>
    <s v="Guide d'utilisation"/>
    <s v="Gestion Guide"/>
    <s v="guide"/>
    <s v="Chapitre 5 (créer un tableau personnalisé) : à quoi ça sert et étapes numérotées"/>
    <s v="Redaction"/>
    <x v="0"/>
    <n v="30"/>
    <n v="0"/>
    <n v="30"/>
    <n v="0"/>
  </r>
  <r>
    <s v="Guide d'utilisation"/>
    <s v="Gestion Guide"/>
    <s v="guide"/>
    <s v="Chapitre 5 : captures et erreurs fréquentes"/>
    <s v="Redaction"/>
    <x v="0"/>
    <n v="30"/>
    <n v="0"/>
    <n v="30"/>
    <n v="0"/>
  </r>
  <r>
    <s v="Guide d'utilisation"/>
    <s v="Gestion Guide"/>
    <s v="guide"/>
    <s v="Chapitre 6 (utiliser le mode hors ligne sur le terrain) : à quoi ça sert et étapes numérotées"/>
    <s v="Redaction"/>
    <x v="0"/>
    <n v="30"/>
    <n v="0"/>
    <n v="30"/>
    <n v="0"/>
  </r>
  <r>
    <s v="Guide d'utilisation"/>
    <s v="Gestion Guide"/>
    <s v="guide"/>
    <s v="Chapitre 6 : captures et erreurs fréquentes"/>
    <s v="Redaction"/>
    <x v="0"/>
    <n v="30"/>
    <n v="0"/>
    <n v="30"/>
    <n v="0"/>
  </r>
  <r>
    <s v="Guide d'utilisation"/>
    <s v="Gestion Guide"/>
    <s v="guide"/>
    <s v="Chapitre 7 (valider les données d'un agent de saisie) : à quoi ça sert et étapes numérotées"/>
    <s v="Redaction"/>
    <x v="0"/>
    <n v="30"/>
    <n v="0"/>
    <n v="30"/>
    <n v="0"/>
  </r>
  <r>
    <s v="Guide d'utilisation"/>
    <s v="Gestion Guide"/>
    <s v="guide"/>
    <s v="Chapitre 7 : captures et erreurs fréquentes"/>
    <s v="Redaction"/>
    <x v="0"/>
    <n v="30"/>
    <n v="0"/>
    <n v="30"/>
    <n v="0"/>
  </r>
  <r>
    <s v="Guide d'utilisation"/>
    <s v="Gestion Guide"/>
    <s v="guide"/>
    <s v="Chapitre 8 (partager une recherche et exporter des données) : à quoi ça sert et étapes numérotées"/>
    <s v="Redaction"/>
    <x v="0"/>
    <n v="30"/>
    <n v="0"/>
    <n v="30"/>
    <n v="0"/>
  </r>
  <r>
    <s v="Guide d'utilisation"/>
    <s v="Gestion Guide"/>
    <s v="guide"/>
    <s v="Chapitre 8 : captures et erreurs fréquentes"/>
    <s v="Redaction"/>
    <x v="0"/>
    <n v="30"/>
    <n v="0"/>
    <n v="30"/>
    <n v="0"/>
  </r>
  <r>
    <s v="Guide d'utilisation"/>
    <s v="Gestion Guide"/>
    <s v="guide"/>
    <s v="Chapitre 9 (questions fréquentes et problèmes courants) : à quoi ça sert et étapes numérotées"/>
    <s v="Redaction"/>
    <x v="0"/>
    <n v="30"/>
    <n v="0"/>
    <n v="30"/>
    <n v="0"/>
  </r>
  <r>
    <s v="Guide d'utilisation"/>
    <s v="Gestion Guide"/>
    <s v="guide"/>
    <s v="Chapitre 9 : captures et erreurs fréquentes"/>
    <s v="Redaction"/>
    <x v="0"/>
    <n v="30"/>
    <n v="0"/>
    <n v="30"/>
    <n v="0"/>
  </r>
  <r>
    <s v="Guide d'utilisation"/>
    <s v="Gestion Guide"/>
    <s v="guide"/>
    <s v="Choisir le testeur extérieur"/>
    <s v="Test"/>
    <x v="0"/>
    <n v="15"/>
    <n v="0"/>
    <n v="15"/>
    <n v="0"/>
  </r>
  <r>
    <s v="Guide d'utilisation"/>
    <s v="Gestion Guide"/>
    <s v="guide"/>
    <s v="Le tester sans l'aider"/>
    <s v="Test"/>
    <x v="0"/>
    <n v="30"/>
    <n v="0"/>
    <n v="30"/>
    <n v="0"/>
  </r>
  <r>
    <s v="Guide d'utilisation"/>
    <s v="Gestion Guide"/>
    <s v="guide"/>
    <s v="Noter les blocages"/>
    <s v="Test"/>
    <x v="0"/>
    <n v="15"/>
    <n v="0"/>
    <n v="15"/>
    <n v="0"/>
  </r>
  <r>
    <s v="Guide d'utilisation"/>
    <s v="Gestion Guide"/>
    <s v="guide"/>
    <s v="Corriger les blocages du guide"/>
    <s v="Redaction"/>
    <x v="0"/>
    <n v="30"/>
    <n v="0"/>
    <n v="30"/>
    <n v="0"/>
  </r>
  <r>
    <s v="Guide d'utilisation"/>
    <s v="Gestion Guide"/>
    <s v="guide"/>
    <s v="Corriger les captures et les textes"/>
    <s v="Redaction"/>
    <x v="0"/>
    <n v="30"/>
    <n v="0"/>
    <n v="30"/>
    <n v="0"/>
  </r>
  <r>
    <s v="Guide d'utilisation"/>
    <s v="Gestion Guide"/>
    <s v="guide"/>
    <s v="Relire le guide"/>
    <s v="Redaction"/>
    <x v="0"/>
    <n v="30"/>
    <n v="0"/>
    <n v="30"/>
    <n v="0"/>
  </r>
  <r>
    <s v="Guide d'utilisation"/>
    <s v="Gestion Guide"/>
    <s v="guide"/>
    <s v="Mise en page"/>
    <s v="Gestion"/>
    <x v="0"/>
    <n v="30"/>
    <n v="0"/>
    <n v="30"/>
    <n v="0"/>
  </r>
  <r>
    <s v="Guide d'utilisation"/>
    <s v="Gestion Guide"/>
    <s v="guide"/>
    <s v="Export en PDF et vérification"/>
    <s v="Gestion"/>
    <x v="0"/>
    <n v="30"/>
    <n v="0"/>
    <n v="30"/>
    <n v="0"/>
  </r>
  <r>
    <s v="Mémoire"/>
    <s v="Gestion Memoire"/>
    <s v="miseEnPlace"/>
    <s v="Copier le modèle de l'école"/>
    <s v="Redaction"/>
    <x v="0"/>
    <n v="15"/>
    <n v="0"/>
    <n v="15"/>
    <n v="0"/>
  </r>
  <r>
    <s v="Mémoire"/>
    <s v="Gestion Memoire"/>
    <s v="miseEnPlace"/>
    <s v="Titre provisoire"/>
    <s v="Redaction"/>
    <x v="0"/>
    <n v="15"/>
    <n v="0"/>
    <n v="15"/>
    <n v="0"/>
  </r>
  <r>
    <s v="Mémoire"/>
    <s v="Gestion Memoire"/>
    <s v="miseEnPlace"/>
    <s v="Dossier de sauvegarde"/>
    <s v="Redaction"/>
    <x v="0"/>
    <n v="15"/>
    <n v="0"/>
    <n v="15"/>
    <n v="0"/>
  </r>
  <r>
    <s v="Mémoire"/>
    <s v="Gestion Memoire"/>
    <s v="miseEnPlace"/>
    <s v="Liste des sources (format imposé)"/>
    <s v="Redaction"/>
    <x v="0"/>
    <n v="30"/>
    <n v="0"/>
    <n v="30"/>
    <n v="0"/>
  </r>
  <r>
    <s v="Mémoire"/>
    <s v="Gestion Memoire"/>
    <s v="miseEnPlace"/>
    <s v="Styles et numérotation"/>
    <s v="Redaction"/>
    <x v="0"/>
    <n v="15"/>
    <n v="0"/>
    <n v="15"/>
    <n v="0"/>
  </r>
  <r>
    <s v="Mémoire"/>
    <s v="Gestion Memoire"/>
    <s v="avantPropos"/>
    <s v="Rechercher des informations sur The Peregrine Fund"/>
    <s v="Redaction"/>
    <x v="0"/>
    <n v="30"/>
    <n v="0"/>
    <n v="30"/>
    <n v="0"/>
  </r>
  <r>
    <s v="Mémoire"/>
    <s v="Gestion Memoire"/>
    <s v="avantPropos"/>
    <s v="Présenter l'organisation"/>
    <s v="Redaction"/>
    <x v="0"/>
    <n v="30"/>
    <n v="0"/>
    <n v="30"/>
    <n v="0"/>
  </r>
  <r>
    <s v="Mémoire"/>
    <s v="Gestion Memoire"/>
    <s v="avantPropos"/>
    <s v="Missions et activités"/>
    <s v="Redaction"/>
    <x v="0"/>
    <n v="30"/>
    <n v="0"/>
    <n v="30"/>
    <n v="0"/>
  </r>
  <r>
    <s v="Mémoire"/>
    <s v="Gestion Memoire"/>
    <s v="avantPropos"/>
    <s v="Mon département d'accueil"/>
    <s v="Redaction"/>
    <x v="0"/>
    <n v="15"/>
    <n v="0"/>
    <n v="15"/>
    <n v="0"/>
  </r>
  <r>
    <s v="Mémoire"/>
    <s v="Gestion Memoire"/>
    <s v="avantPropos"/>
    <s v="Relecture (1,5 page maximum)"/>
    <s v="Redaction"/>
    <x v="0"/>
    <n v="15"/>
    <n v="0"/>
    <n v="15"/>
    <n v="0"/>
  </r>
  <r>
    <s v="Mémoire"/>
    <s v="Gestion Memoire"/>
    <s v="1.1"/>
    <s v="Objectif général"/>
    <s v="Redaction"/>
    <x v="0"/>
    <n v="15"/>
    <n v="0"/>
    <n v="15"/>
    <n v="0"/>
  </r>
  <r>
    <s v="Mémoire"/>
    <s v="Gestion Memoire"/>
    <s v="1.1"/>
    <s v="Objectifs spécifiques"/>
    <s v="Redaction"/>
    <x v="0"/>
    <n v="30"/>
    <n v="0"/>
    <n v="30"/>
    <n v="0"/>
  </r>
  <r>
    <s v="Mémoire"/>
    <s v="Gestion Memoire"/>
    <s v="1.1"/>
    <s v="Relecture"/>
    <s v="Redaction"/>
    <x v="0"/>
    <n v="15"/>
    <n v="0"/>
    <n v="15"/>
    <n v="0"/>
  </r>
  <r>
    <s v="Mémoire"/>
    <s v="Gestion Memoire"/>
    <s v="2.1.1"/>
    <s v="Situation actuelle des données"/>
    <s v="Redaction"/>
    <x v="0"/>
    <n v="30"/>
    <n v="0"/>
    <n v="30"/>
    <n v="0"/>
  </r>
  <r>
    <s v="Mémoire"/>
    <s v="Gestion Memoire"/>
    <s v="2.1.1"/>
    <s v="Limites constatées"/>
    <s v="Redaction"/>
    <x v="0"/>
    <n v="30"/>
    <n v="0"/>
    <n v="30"/>
    <n v="0"/>
  </r>
  <r>
    <s v="Mémoire"/>
    <s v="Gestion Memoire"/>
    <s v="2.1.1"/>
    <s v="Benchmark : GBIF"/>
    <s v="Redaction"/>
    <x v="0"/>
    <n v="30"/>
    <n v="0"/>
    <n v="30"/>
    <n v="0"/>
  </r>
  <r>
    <s v="Mémoire"/>
    <s v="Gestion Memoire"/>
    <s v="2.1.1"/>
    <s v="Benchmark : Specify"/>
    <s v="Redaction"/>
    <x v="0"/>
    <n v="30"/>
    <n v="0"/>
    <n v="30"/>
    <n v="0"/>
  </r>
  <r>
    <s v="Mémoire"/>
    <s v="Gestion Memoire"/>
    <s v="2.1.1"/>
    <s v="Benchmark : KoboToolbox"/>
    <s v="Redaction"/>
    <x v="0"/>
    <n v="30"/>
    <n v="0"/>
    <n v="30"/>
    <n v="0"/>
  </r>
  <r>
    <s v="Mémoire"/>
    <s v="Gestion Memoire"/>
    <s v="2.1.1"/>
    <s v="Synthèse et conclusion"/>
    <s v="Redaction"/>
    <x v="0"/>
    <n v="30"/>
    <n v="0"/>
    <n v="30"/>
    <n v="0"/>
  </r>
  <r>
    <s v="Mémoire"/>
    <s v="Gestion Memoire"/>
    <s v="1.3"/>
    <s v="Recherche : frontend (Vue.js et alternatives)"/>
    <s v="Redaction"/>
    <x v="0"/>
    <n v="30"/>
    <n v="0"/>
    <n v="30"/>
    <n v="0"/>
  </r>
  <r>
    <s v="Mémoire"/>
    <s v="Gestion Memoire"/>
    <s v="1.3"/>
    <s v="Recherche : backend (Spring Boot et alternatives)"/>
    <s v="Redaction"/>
    <x v="0"/>
    <n v="30"/>
    <n v="0"/>
    <n v="30"/>
    <n v="0"/>
  </r>
  <r>
    <s v="Mémoire"/>
    <s v="Gestion Memoire"/>
    <s v="1.3"/>
    <s v="Recherche : base de données (PostgreSQL et alternatives)"/>
    <s v="Redaction"/>
    <x v="0"/>
    <n v="30"/>
    <n v="0"/>
    <n v="30"/>
    <n v="0"/>
  </r>
  <r>
    <s v="Mémoire"/>
    <s v="Gestion Memoire"/>
    <s v="1.3"/>
    <s v="Recherche : stockage de fichiers (MinIO et alternatives)"/>
    <s v="Redaction"/>
    <x v="0"/>
    <n v="30"/>
    <n v="0"/>
    <n v="30"/>
    <n v="0"/>
  </r>
  <r>
    <s v="Mémoire"/>
    <s v="Gestion Memoire"/>
    <s v="1.3"/>
    <s v="Recherche : ETL (Python, pandas et alternatives)"/>
    <s v="Redaction"/>
    <x v="0"/>
    <n v="30"/>
    <n v="0"/>
    <n v="30"/>
    <n v="0"/>
  </r>
  <r>
    <s v="Mémoire"/>
    <s v="Gestion Memoire"/>
    <s v="1.3"/>
    <s v="Recherche : mode hors ligne (Service Worker, IndexedDB)"/>
    <s v="Redaction"/>
    <x v="0"/>
    <n v="30"/>
    <n v="0"/>
    <n v="30"/>
    <n v="0"/>
  </r>
  <r>
    <s v="Mémoire"/>
    <s v="Gestion Memoire"/>
    <s v="1.3"/>
    <s v="Tableau : frontend et backend"/>
    <s v="Redaction"/>
    <x v="0"/>
    <n v="30"/>
    <n v="0"/>
    <n v="30"/>
    <n v="0"/>
  </r>
  <r>
    <s v="Mémoire"/>
    <s v="Gestion Memoire"/>
    <s v="1.3"/>
    <s v="Tableau : base de données et stockage"/>
    <s v="Redaction"/>
    <x v="0"/>
    <n v="30"/>
    <n v="0"/>
    <n v="30"/>
    <n v="0"/>
  </r>
  <r>
    <s v="Mémoire"/>
    <s v="Gestion Memoire"/>
    <s v="1.3"/>
    <s v="Tableau : ETL et hors ligne"/>
    <s v="Redaction"/>
    <x v="0"/>
    <n v="30"/>
    <n v="0"/>
    <n v="30"/>
    <n v="0"/>
  </r>
  <r>
    <s v="Mémoire"/>
    <s v="Gestion Memoire"/>
    <s v="1.3"/>
    <s v="Rédiger frontend et backend avec mes mots"/>
    <s v="Redaction"/>
    <x v="0"/>
    <n v="30"/>
    <n v="0"/>
    <n v="30"/>
    <n v="0"/>
  </r>
  <r>
    <s v="Mémoire"/>
    <s v="Gestion Memoire"/>
    <s v="1.3"/>
    <s v="Rédiger base de données et stockage"/>
    <s v="Redaction"/>
    <x v="0"/>
    <n v="30"/>
    <n v="0"/>
    <n v="30"/>
    <n v="0"/>
  </r>
  <r>
    <s v="Mémoire"/>
    <s v="Gestion Memoire"/>
    <s v="1.3"/>
    <s v="Rédiger ETL et hors ligne, justifier mes choix"/>
    <s v="Redaction"/>
    <x v="0"/>
    <n v="30"/>
    <n v="0"/>
    <n v="30"/>
    <n v="0"/>
  </r>
  <r>
    <s v="Mémoire"/>
    <s v="Gestion Memoire"/>
    <s v="2.1.2"/>
    <s v="Pourquoi faire une conception"/>
    <s v="Redaction"/>
    <x v="0"/>
    <n v="30"/>
    <n v="0"/>
    <n v="30"/>
    <n v="0"/>
  </r>
  <r>
    <s v="Mémoire"/>
    <s v="Gestion Memoire"/>
    <s v="2.1.2"/>
    <s v="Méthode et Darwin Core"/>
    <s v="Redaction"/>
    <x v="0"/>
    <n v="30"/>
    <n v="0"/>
    <n v="30"/>
    <n v="0"/>
  </r>
  <r>
    <s v="Mémoire"/>
    <s v="Gestion Memoire"/>
    <s v="2.1.2"/>
    <s v="Figure 1 : utilisateurs et recherches"/>
    <s v="Redaction"/>
    <x v="0"/>
    <n v="30"/>
    <n v="0"/>
    <n v="30"/>
    <n v="0"/>
  </r>
  <r>
    <s v="Mémoire"/>
    <s v="Gestion Memoire"/>
    <s v="2.1.2"/>
    <s v="Figure 2 : terrain et génétique"/>
    <s v="Redaction"/>
    <x v="0"/>
    <n v="15"/>
    <n v="0"/>
    <n v="15"/>
    <n v="0"/>
  </r>
  <r>
    <s v="Mémoire"/>
    <s v="Gestion Memoire"/>
    <s v="2.1.2"/>
    <s v="Figure 3 : occurrences, mesures et matériel"/>
    <s v="Redaction"/>
    <x v="0"/>
    <n v="15"/>
    <n v="0"/>
    <n v="15"/>
    <n v="0"/>
  </r>
  <r>
    <s v="Mémoire"/>
    <s v="Gestion Memoire"/>
    <s v="2.1.2"/>
    <s v="Figure 4 : identification et taxonomie"/>
    <s v="Redaction"/>
    <x v="0"/>
    <n v="15"/>
    <n v="0"/>
    <n v="15"/>
    <n v="0"/>
  </r>
  <r>
    <s v="Mémoire"/>
    <s v="Gestion Memoire"/>
    <s v="2.1.2"/>
    <s v="Légendes des figures"/>
    <s v="Redaction"/>
    <x v="0"/>
    <n v="15"/>
    <n v="0"/>
    <n v="15"/>
    <n v="0"/>
  </r>
  <r>
    <s v="Mémoire"/>
    <s v="Gestion Memoire"/>
    <s v="2.1.2"/>
    <s v="Choisir les maquettes à montrer"/>
    <s v="Redaction"/>
    <x v="0"/>
    <n v="30"/>
    <n v="0"/>
    <n v="30"/>
    <n v="0"/>
  </r>
  <r>
    <s v="Mémoire"/>
    <s v="Gestion Memoire"/>
    <s v="2.1.2"/>
    <s v="Décrire l'architecture"/>
    <s v="Redaction"/>
    <x v="0"/>
    <n v="30"/>
    <n v="0"/>
    <n v="30"/>
    <n v="0"/>
  </r>
  <r>
    <s v="Mémoire"/>
    <s v="Gestion Memoire"/>
    <s v="2.1.2"/>
    <s v="Schéma de l'architecture"/>
    <s v="Redaction"/>
    <x v="0"/>
    <n v="30"/>
    <n v="0"/>
    <n v="30"/>
    <n v="0"/>
  </r>
  <r>
    <s v="Mémoire"/>
    <s v="Gestion Memoire"/>
    <s v="2.1.2"/>
    <s v="Compter tables, classes, écrans et API"/>
    <s v="Redaction"/>
    <x v="0"/>
    <n v="30"/>
    <n v="0"/>
    <n v="30"/>
    <n v="0"/>
  </r>
  <r>
    <s v="Mémoire"/>
    <s v="Gestion Memoire"/>
    <s v="2.2"/>
    <s v="Module « Gestion des utilisateurs » : description des fonctionnalités"/>
    <s v="Redaction"/>
    <x v="0"/>
    <n v="30"/>
    <n v="0"/>
    <n v="30"/>
    <n v="0"/>
  </r>
  <r>
    <s v="Mémoire"/>
    <s v="Gestion Memoire"/>
    <s v="2.2"/>
    <s v="Module « Gestion des utilisateurs » : pourquoi pour l'entreprise"/>
    <s v="Redaction"/>
    <x v="0"/>
    <n v="30"/>
    <n v="0"/>
    <n v="30"/>
    <n v="0"/>
  </r>
  <r>
    <s v="Mémoire"/>
    <s v="Gestion Memoire"/>
    <s v="2.2"/>
    <s v="Module « Gestion des utilisateurs » : scénario clé 1"/>
    <s v="Redaction"/>
    <x v="0"/>
    <n v="30"/>
    <n v="0"/>
    <n v="30"/>
    <n v="0"/>
  </r>
  <r>
    <s v="Mémoire"/>
    <s v="Gestion Memoire"/>
    <s v="2.2"/>
    <s v="Module « Gestion des utilisateurs » : scénario clé 2"/>
    <s v="Redaction"/>
    <x v="0"/>
    <n v="30"/>
    <n v="0"/>
    <n v="30"/>
    <n v="0"/>
  </r>
  <r>
    <s v="Mémoire"/>
    <s v="Gestion Memoire"/>
    <s v="2.2"/>
    <s v="Module « Gestion des utilisateurs » : captures d'écran avec explication"/>
    <s v="Redaction"/>
    <x v="0"/>
    <n v="30"/>
    <n v="0"/>
    <n v="30"/>
    <n v="0"/>
  </r>
  <r>
    <s v="Mémoire"/>
    <s v="Gestion Memoire"/>
    <s v="2.2"/>
    <s v="Module « Gestion des utilisateurs » : diagramme de séquence"/>
    <s v="Redaction"/>
    <x v="0"/>
    <n v="30"/>
    <n v="0"/>
    <n v="30"/>
    <n v="0"/>
  </r>
  <r>
    <s v="Mémoire"/>
    <s v="Gestion Memoire"/>
    <s v="2.2"/>
    <s v="Module « Recherches, datasets et saisie » : description des fonctionnalités"/>
    <s v="Redaction"/>
    <x v="0"/>
    <n v="30"/>
    <n v="0"/>
    <n v="30"/>
    <n v="0"/>
  </r>
  <r>
    <s v="Mémoire"/>
    <s v="Gestion Memoire"/>
    <s v="2.2"/>
    <s v="Module « Recherches, datasets et saisie » : pourquoi pour l'entreprise"/>
    <s v="Redaction"/>
    <x v="0"/>
    <n v="30"/>
    <n v="0"/>
    <n v="30"/>
    <n v="0"/>
  </r>
  <r>
    <s v="Mémoire"/>
    <s v="Gestion Memoire"/>
    <s v="2.2"/>
    <s v="Module « Recherches, datasets et saisie » : scénario clé 1"/>
    <s v="Redaction"/>
    <x v="0"/>
    <n v="30"/>
    <n v="0"/>
    <n v="30"/>
    <n v="0"/>
  </r>
  <r>
    <s v="Mémoire"/>
    <s v="Gestion Memoire"/>
    <s v="2.2"/>
    <s v="Module « Recherches, datasets et saisie » : scénario clé 2"/>
    <s v="Redaction"/>
    <x v="0"/>
    <n v="30"/>
    <n v="0"/>
    <n v="30"/>
    <n v="0"/>
  </r>
  <r>
    <s v="Mémoire"/>
    <s v="Gestion Memoire"/>
    <s v="2.2"/>
    <s v="Module « Recherches, datasets et saisie » : captures d'écran avec explication"/>
    <s v="Redaction"/>
    <x v="0"/>
    <n v="30"/>
    <n v="0"/>
    <n v="30"/>
    <n v="0"/>
  </r>
  <r>
    <s v="Mémoire"/>
    <s v="Gestion Memoire"/>
    <s v="2.2"/>
    <s v="Module « Recherches, datasets et saisie » : diagramme de séquence"/>
    <s v="Redaction"/>
    <x v="0"/>
    <n v="30"/>
    <n v="0"/>
    <n v="30"/>
    <n v="0"/>
  </r>
  <r>
    <s v="Mémoire"/>
    <s v="Gestion Memoire"/>
    <s v="2.2"/>
    <s v="Module « Import (ETL) et export » : description des fonctionnalités"/>
    <s v="Redaction"/>
    <x v="0"/>
    <n v="30"/>
    <n v="0"/>
    <n v="30"/>
    <n v="0"/>
  </r>
  <r>
    <s v="Mémoire"/>
    <s v="Gestion Memoire"/>
    <s v="2.2"/>
    <s v="Module « Import (ETL) et export » : pourquoi pour l'entreprise"/>
    <s v="Redaction"/>
    <x v="0"/>
    <n v="30"/>
    <n v="0"/>
    <n v="30"/>
    <n v="0"/>
  </r>
  <r>
    <s v="Mémoire"/>
    <s v="Gestion Memoire"/>
    <s v="2.2"/>
    <s v="Module « Import (ETL) et export » : scénario clé 1"/>
    <s v="Redaction"/>
    <x v="0"/>
    <n v="30"/>
    <n v="0"/>
    <n v="30"/>
    <n v="0"/>
  </r>
  <r>
    <s v="Mémoire"/>
    <s v="Gestion Memoire"/>
    <s v="2.2"/>
    <s v="Module « Import (ETL) et export » : scénario clé 2"/>
    <s v="Redaction"/>
    <x v="0"/>
    <n v="30"/>
    <n v="0"/>
    <n v="30"/>
    <n v="0"/>
  </r>
  <r>
    <s v="Mémoire"/>
    <s v="Gestion Memoire"/>
    <s v="2.2"/>
    <s v="Module « Import (ETL) et export » : captures d'écran avec explication"/>
    <s v="Redaction"/>
    <x v="0"/>
    <n v="30"/>
    <n v="0"/>
    <n v="30"/>
    <n v="0"/>
  </r>
  <r>
    <s v="Mémoire"/>
    <s v="Gestion Memoire"/>
    <s v="2.2"/>
    <s v="Module « Import (ETL) et export » : diagramme de séquence"/>
    <s v="Redaction"/>
    <x v="0"/>
    <n v="30"/>
    <n v="0"/>
    <n v="30"/>
    <n v="0"/>
  </r>
  <r>
    <s v="Mémoire"/>
    <s v="Gestion Memoire"/>
    <s v="2.2"/>
    <s v="Module « Tableaux personnalisés, fiche taxon et partage » : description des fonctionnalités"/>
    <s v="Redaction"/>
    <x v="0"/>
    <n v="30"/>
    <n v="0"/>
    <n v="30"/>
    <n v="0"/>
  </r>
  <r>
    <s v="Mémoire"/>
    <s v="Gestion Memoire"/>
    <s v="2.2"/>
    <s v="Module « Tableaux personnalisés, fiche taxon et partage » : pourquoi pour l'entreprise"/>
    <s v="Redaction"/>
    <x v="0"/>
    <n v="30"/>
    <n v="0"/>
    <n v="30"/>
    <n v="0"/>
  </r>
  <r>
    <s v="Mémoire"/>
    <s v="Gestion Memoire"/>
    <s v="2.2"/>
    <s v="Module « Tableaux personnalisés, fiche taxon et partage » : scénario clé 1"/>
    <s v="Redaction"/>
    <x v="0"/>
    <n v="30"/>
    <n v="0"/>
    <n v="30"/>
    <n v="0"/>
  </r>
  <r>
    <s v="Mémoire"/>
    <s v="Gestion Memoire"/>
    <s v="2.2"/>
    <s v="Module « Tableaux personnalisés, fiche taxon et partage » : scénario clé 2"/>
    <s v="Redaction"/>
    <x v="0"/>
    <n v="30"/>
    <n v="0"/>
    <n v="30"/>
    <n v="0"/>
  </r>
  <r>
    <s v="Mémoire"/>
    <s v="Gestion Memoire"/>
    <s v="2.2"/>
    <s v="Module « Tableaux personnalisés, fiche taxon et partage » : captures d'écran avec explication"/>
    <s v="Redaction"/>
    <x v="0"/>
    <n v="30"/>
    <n v="0"/>
    <n v="30"/>
    <n v="0"/>
  </r>
  <r>
    <s v="Mémoire"/>
    <s v="Gestion Memoire"/>
    <s v="2.2"/>
    <s v="Module « Tableaux personnalisés, fiche taxon et partage » : diagramme de séquence"/>
    <s v="Redaction"/>
    <x v="0"/>
    <n v="30"/>
    <n v="0"/>
    <n v="30"/>
    <n v="0"/>
  </r>
  <r>
    <s v="Mémoire"/>
    <s v="Gestion Memoire"/>
    <s v="2.2"/>
    <s v="Module « Mode hors ligne » : description des fonctionnalités"/>
    <s v="Redaction"/>
    <x v="0"/>
    <n v="30"/>
    <n v="0"/>
    <n v="30"/>
    <n v="0"/>
  </r>
  <r>
    <s v="Mémoire"/>
    <s v="Gestion Memoire"/>
    <s v="2.2"/>
    <s v="Module « Mode hors ligne » : pourquoi pour l'entreprise"/>
    <s v="Redaction"/>
    <x v="0"/>
    <n v="30"/>
    <n v="0"/>
    <n v="30"/>
    <n v="0"/>
  </r>
  <r>
    <s v="Mémoire"/>
    <s v="Gestion Memoire"/>
    <s v="2.2"/>
    <s v="Module « Mode hors ligne » : scénario clé 1"/>
    <s v="Redaction"/>
    <x v="0"/>
    <n v="30"/>
    <n v="0"/>
    <n v="30"/>
    <n v="0"/>
  </r>
  <r>
    <s v="Mémoire"/>
    <s v="Gestion Memoire"/>
    <s v="2.2"/>
    <s v="Module « Mode hors ligne » : scénario clé 2"/>
    <s v="Redaction"/>
    <x v="0"/>
    <n v="30"/>
    <n v="0"/>
    <n v="30"/>
    <n v="0"/>
  </r>
  <r>
    <s v="Mémoire"/>
    <s v="Gestion Memoire"/>
    <s v="2.2"/>
    <s v="Module « Mode hors ligne » : captures d'écran avec explication"/>
    <s v="Redaction"/>
    <x v="0"/>
    <n v="30"/>
    <n v="0"/>
    <n v="30"/>
    <n v="0"/>
  </r>
  <r>
    <s v="Mémoire"/>
    <s v="Gestion Memoire"/>
    <s v="2.2"/>
    <s v="Module « Mode hors ligne » : diagramme de séquence"/>
    <s v="Redaction"/>
    <x v="0"/>
    <n v="30"/>
    <n v="0"/>
    <n v="30"/>
    <n v="0"/>
  </r>
  <r>
    <s v="Mémoire"/>
    <s v="Gestion Memoire"/>
    <s v="2.2"/>
    <s v="Module « Validation et médias » : description des fonctionnalités"/>
    <s v="Redaction"/>
    <x v="0"/>
    <n v="30"/>
    <n v="0"/>
    <n v="30"/>
    <n v="0"/>
  </r>
  <r>
    <s v="Mémoire"/>
    <s v="Gestion Memoire"/>
    <s v="2.2"/>
    <s v="Module « Validation et médias » : pourquoi pour l'entreprise"/>
    <s v="Redaction"/>
    <x v="0"/>
    <n v="30"/>
    <n v="0"/>
    <n v="30"/>
    <n v="0"/>
  </r>
  <r>
    <s v="Mémoire"/>
    <s v="Gestion Memoire"/>
    <s v="2.2"/>
    <s v="Module « Validation et médias » : scénario clé 1"/>
    <s v="Redaction"/>
    <x v="0"/>
    <n v="30"/>
    <n v="0"/>
    <n v="30"/>
    <n v="0"/>
  </r>
  <r>
    <s v="Mémoire"/>
    <s v="Gestion Memoire"/>
    <s v="2.2"/>
    <s v="Module « Validation et médias » : scénario clé 2"/>
    <s v="Redaction"/>
    <x v="0"/>
    <n v="30"/>
    <n v="0"/>
    <n v="30"/>
    <n v="0"/>
  </r>
  <r>
    <s v="Mémoire"/>
    <s v="Gestion Memoire"/>
    <s v="2.2"/>
    <s v="Module « Validation et médias » : captures d'écran avec explication"/>
    <s v="Redaction"/>
    <x v="0"/>
    <n v="30"/>
    <n v="0"/>
    <n v="30"/>
    <n v="0"/>
  </r>
  <r>
    <s v="Mémoire"/>
    <s v="Gestion Memoire"/>
    <s v="2.2"/>
    <s v="Module « Validation et médias » : diagramme de séquence"/>
    <s v="Redaction"/>
    <x v="0"/>
    <n v="30"/>
    <n v="0"/>
    <n v="30"/>
    <n v="0"/>
  </r>
  <r>
    <s v="Mémoire"/>
    <s v="Gestion Memoire"/>
    <s v="2.2"/>
    <s v="Module « Recherche et notifications » : description des fonctionnalités"/>
    <s v="Redaction"/>
    <x v="0"/>
    <n v="30"/>
    <n v="0"/>
    <n v="30"/>
    <n v="0"/>
  </r>
  <r>
    <s v="Mémoire"/>
    <s v="Gestion Memoire"/>
    <s v="2.2"/>
    <s v="Module « Recherche et notifications » : pourquoi pour l'entreprise"/>
    <s v="Redaction"/>
    <x v="0"/>
    <n v="30"/>
    <n v="0"/>
    <n v="30"/>
    <n v="0"/>
  </r>
  <r>
    <s v="Mémoire"/>
    <s v="Gestion Memoire"/>
    <s v="2.2"/>
    <s v="Module « Recherche et notifications » : scénario clé 1"/>
    <s v="Redaction"/>
    <x v="0"/>
    <n v="30"/>
    <n v="0"/>
    <n v="30"/>
    <n v="0"/>
  </r>
  <r>
    <s v="Mémoire"/>
    <s v="Gestion Memoire"/>
    <s v="2.2"/>
    <s v="Module « Recherche et notifications » : scénario clé 2"/>
    <s v="Redaction"/>
    <x v="0"/>
    <n v="30"/>
    <n v="0"/>
    <n v="30"/>
    <n v="0"/>
  </r>
  <r>
    <s v="Mémoire"/>
    <s v="Gestion Memoire"/>
    <s v="2.2"/>
    <s v="Module « Recherche et notifications » : captures d'écran avec explication"/>
    <s v="Redaction"/>
    <x v="0"/>
    <n v="30"/>
    <n v="0"/>
    <n v="30"/>
    <n v="0"/>
  </r>
  <r>
    <s v="Mémoire"/>
    <s v="Gestion Memoire"/>
    <s v="2.2"/>
    <s v="Module « Recherche et notifications » : diagramme de séquence"/>
    <s v="Redaction"/>
    <x v="0"/>
    <n v="30"/>
    <n v="0"/>
    <n v="30"/>
    <n v="0"/>
  </r>
  <r>
    <s v="Mémoire"/>
    <s v="Gestion Memoire"/>
    <s v="2.3"/>
    <s v="Compter les enregistrements importés"/>
    <s v="Redaction"/>
    <x v="0"/>
    <n v="30"/>
    <n v="0"/>
    <n v="30"/>
    <n v="0"/>
  </r>
  <r>
    <s v="Mémoire"/>
    <s v="Gestion Memoire"/>
    <s v="2.3"/>
    <s v="Mesurer le temps d'import"/>
    <s v="Redaction"/>
    <x v="0"/>
    <n v="30"/>
    <n v="0"/>
    <n v="30"/>
    <n v="0"/>
  </r>
  <r>
    <s v="Mémoire"/>
    <s v="Gestion Memoire"/>
    <s v="2.3"/>
    <s v="Compter recherches, taxons et utilisateurs"/>
    <s v="Redaction"/>
    <x v="0"/>
    <n v="30"/>
    <n v="0"/>
    <n v="30"/>
    <n v="0"/>
  </r>
  <r>
    <s v="Mémoire"/>
    <s v="Gestion Memoire"/>
    <s v="2.3"/>
    <s v="Reprendre les résultats du plan de test"/>
    <s v="Redaction"/>
    <x v="0"/>
    <n v="30"/>
    <n v="0"/>
    <n v="30"/>
    <n v="0"/>
  </r>
  <r>
    <s v="Mémoire"/>
    <s v="Gestion Memoire"/>
    <s v="2.3"/>
    <s v="Tableau de chiffres datés"/>
    <s v="Redaction"/>
    <x v="0"/>
    <n v="30"/>
    <n v="0"/>
    <n v="30"/>
    <n v="0"/>
  </r>
  <r>
    <s v="Mémoire"/>
    <s v="Gestion Memoire"/>
    <s v="2.3"/>
    <s v="Commentaires"/>
    <s v="Redaction"/>
    <x v="0"/>
    <n v="30"/>
    <n v="0"/>
    <n v="30"/>
    <n v="0"/>
  </r>
  <r>
    <s v="Mémoire"/>
    <s v="Gestion Memoire"/>
    <s v="2.4"/>
    <s v="Relire le carnet de bord"/>
    <s v="Redaction"/>
    <x v="0"/>
    <n v="30"/>
    <n v="0"/>
    <n v="30"/>
    <n v="0"/>
  </r>
  <r>
    <s v="Mémoire"/>
    <s v="Gestion Memoire"/>
    <s v="2.4"/>
    <s v="Choisir 3 à 5 problèmes"/>
    <s v="Redaction"/>
    <x v="0"/>
    <n v="30"/>
    <n v="0"/>
    <n v="30"/>
    <n v="0"/>
  </r>
  <r>
    <s v="Mémoire"/>
    <s v="Gestion Memoire"/>
    <s v="2.4"/>
    <s v="Problème 1 et sa solution"/>
    <s v="Redaction"/>
    <x v="0"/>
    <n v="30"/>
    <n v="0"/>
    <n v="30"/>
    <n v="0"/>
  </r>
  <r>
    <s v="Mémoire"/>
    <s v="Gestion Memoire"/>
    <s v="2.4"/>
    <s v="Problème 2 et sa solution"/>
    <s v="Redaction"/>
    <x v="0"/>
    <n v="30"/>
    <n v="0"/>
    <n v="30"/>
    <n v="0"/>
  </r>
  <r>
    <s v="Mémoire"/>
    <s v="Gestion Memoire"/>
    <s v="2.4"/>
    <s v="Problème 3 et sa solution"/>
    <s v="Redaction"/>
    <x v="0"/>
    <n v="30"/>
    <n v="0"/>
    <n v="30"/>
    <n v="0"/>
  </r>
  <r>
    <s v="Mémoire"/>
    <s v="Gestion Memoire"/>
    <s v="2.4"/>
    <s v="Autres problèmes et relecture"/>
    <s v="Redaction"/>
    <x v="0"/>
    <n v="30"/>
    <n v="0"/>
    <n v="30"/>
    <n v="0"/>
  </r>
  <r>
    <s v="Mémoire"/>
    <s v="Gestion Memoire"/>
    <s v="1.2"/>
    <s v="Gantt : planning prévu"/>
    <s v="Redaction"/>
    <x v="0"/>
    <n v="30"/>
    <n v="0"/>
    <n v="30"/>
    <n v="0"/>
  </r>
  <r>
    <s v="Mémoire"/>
    <s v="Gestion Memoire"/>
    <s v="1.2"/>
    <s v="Gantt : planning réalisé"/>
    <s v="Redaction"/>
    <x v="0"/>
    <n v="30"/>
    <n v="0"/>
    <n v="30"/>
    <n v="0"/>
  </r>
  <r>
    <s v="Mémoire"/>
    <s v="Gestion Memoire"/>
    <s v="1.2"/>
    <s v="Commentaires du planning"/>
    <s v="Redaction"/>
    <x v="0"/>
    <n v="30"/>
    <n v="0"/>
    <n v="30"/>
    <n v="0"/>
  </r>
  <r>
    <s v="Mémoire"/>
    <s v="Gestion Memoire"/>
    <s v="3.1"/>
    <s v="Bilan entreprise : demander le retour de l'encadreur"/>
    <s v="Redaction"/>
    <x v="0"/>
    <n v="15"/>
    <n v="0"/>
    <n v="15"/>
    <n v="0"/>
  </r>
  <r>
    <s v="Mémoire"/>
    <s v="Gestion Memoire"/>
    <s v="3.1"/>
    <s v="Bilan entreprise : atteinte des objectifs"/>
    <s v="Redaction"/>
    <x v="0"/>
    <n v="30"/>
    <n v="0"/>
    <n v="30"/>
    <n v="0"/>
  </r>
  <r>
    <s v="Mémoire"/>
    <s v="Gestion Memoire"/>
    <s v="3.1"/>
    <s v="Bilan entreprise : apports pour l'entreprise"/>
    <s v="Redaction"/>
    <x v="0"/>
    <n v="30"/>
    <n v="0"/>
    <n v="30"/>
    <n v="0"/>
  </r>
  <r>
    <s v="Mémoire"/>
    <s v="Gestion Memoire"/>
    <s v="3.1"/>
    <s v="Bilan entreprise : limites"/>
    <s v="Redaction"/>
    <x v="0"/>
    <n v="15"/>
    <n v="0"/>
    <n v="15"/>
    <n v="0"/>
  </r>
  <r>
    <s v="Mémoire"/>
    <s v="Gestion Memoire"/>
    <s v="3.1"/>
    <s v="Bilan entreprise : relecture par l'encadreur"/>
    <s v="Redaction"/>
    <x v="0"/>
    <n v="15"/>
    <n v="0"/>
    <n v="15"/>
    <n v="0"/>
  </r>
  <r>
    <s v="Mémoire"/>
    <s v="Gestion Memoire"/>
    <s v="3.1"/>
    <s v="Bilan entreprise : corrections"/>
    <s v="Redaction"/>
    <x v="0"/>
    <n v="15"/>
    <n v="0"/>
    <n v="15"/>
    <n v="0"/>
  </r>
  <r>
    <s v="Mémoire"/>
    <s v="Gestion Memoire"/>
    <s v="3.3"/>
    <s v="Perspectives techniques"/>
    <s v="Redaction"/>
    <x v="0"/>
    <n v="30"/>
    <n v="0"/>
    <n v="30"/>
    <n v="0"/>
  </r>
  <r>
    <s v="Mémoire"/>
    <s v="Gestion Memoire"/>
    <s v="3.3"/>
    <s v="Perspectives fonctionnelles"/>
    <s v="Redaction"/>
    <x v="0"/>
    <n v="30"/>
    <n v="0"/>
    <n v="30"/>
    <n v="0"/>
  </r>
  <r>
    <s v="Mémoire"/>
    <s v="Gestion Memoire"/>
    <s v="3.2"/>
    <s v="Compétences acquises"/>
    <s v="Redaction"/>
    <x v="0"/>
    <n v="30"/>
    <n v="0"/>
    <n v="30"/>
    <n v="0"/>
  </r>
  <r>
    <s v="Mémoire"/>
    <s v="Gestion Memoire"/>
    <s v="3.2"/>
    <s v="Difficultés surmontées"/>
    <s v="Redaction"/>
    <x v="0"/>
    <n v="30"/>
    <n v="0"/>
    <n v="30"/>
    <n v="0"/>
  </r>
  <r>
    <s v="Mémoire"/>
    <s v="Gestion Memoire"/>
    <s v="conclusion"/>
    <s v="Satisfaction de l'entreprise"/>
    <s v="Redaction"/>
    <x v="0"/>
    <n v="30"/>
    <n v="0"/>
    <n v="30"/>
    <n v="0"/>
  </r>
  <r>
    <s v="Mémoire"/>
    <s v="Gestion Memoire"/>
    <s v="conclusion"/>
    <s v="Impressions personnelles"/>
    <s v="Redaction"/>
    <x v="0"/>
    <n v="30"/>
    <n v="0"/>
    <n v="30"/>
    <n v="0"/>
  </r>
  <r>
    <s v="Mémoire"/>
    <s v="Gestion Memoire"/>
    <s v="conclusion"/>
    <s v="Perspectives et apport par rapport à l'existant"/>
    <s v="Redaction"/>
    <x v="0"/>
    <n v="30"/>
    <n v="0"/>
    <n v="30"/>
    <n v="0"/>
  </r>
  <r>
    <s v="Mémoire"/>
    <s v="Gestion Memoire"/>
    <s v="introduction"/>
    <s v="Thème et intérêt"/>
    <s v="Redaction"/>
    <x v="0"/>
    <n v="30"/>
    <n v="0"/>
    <n v="30"/>
    <n v="0"/>
  </r>
  <r>
    <s v="Mémoire"/>
    <s v="Gestion Memoire"/>
    <s v="introduction"/>
    <s v="Existant, inconvénients et résultats essentiels"/>
    <s v="Redaction"/>
    <x v="0"/>
    <n v="30"/>
    <n v="0"/>
    <n v="30"/>
    <n v="0"/>
  </r>
  <r>
    <s v="Mémoire"/>
    <s v="Gestion Memoire"/>
    <s v="introduction"/>
    <s v="Structure du mémoire"/>
    <s v="Redaction"/>
    <x v="0"/>
    <n v="30"/>
    <n v="0"/>
    <n v="30"/>
    <n v="0"/>
  </r>
  <r>
    <s v="Mémoire"/>
    <s v="Gestion Memoire"/>
    <s v="glossaire"/>
    <s v="Lister les termes"/>
    <s v="Redaction"/>
    <x v="0"/>
    <n v="30"/>
    <n v="0"/>
    <n v="30"/>
    <n v="0"/>
  </r>
  <r>
    <s v="Mémoire"/>
    <s v="Gestion Memoire"/>
    <s v="glossaire"/>
    <s v="Définitions par ordre alphabétique"/>
    <s v="Redaction"/>
    <x v="0"/>
    <n v="30"/>
    <n v="0"/>
    <n v="30"/>
    <n v="0"/>
  </r>
  <r>
    <s v="Mémoire"/>
    <s v="Gestion Memoire"/>
    <s v="bibliographie"/>
    <s v="Livres"/>
    <s v="Redaction"/>
    <x v="0"/>
    <n v="30"/>
    <n v="0"/>
    <n v="30"/>
    <n v="0"/>
  </r>
  <r>
    <s v="Mémoire"/>
    <s v="Gestion Memoire"/>
    <s v="bibliographie"/>
    <s v="Références web (consultée le)"/>
    <s v="Redaction"/>
    <x v="0"/>
    <n v="30"/>
    <n v="0"/>
    <n v="30"/>
    <n v="0"/>
  </r>
  <r>
    <s v="Mémoire"/>
    <s v="Gestion Memoire"/>
    <s v="bibliographie"/>
    <s v="Thèses et mémoires, mise en forme"/>
    <s v="Redaction"/>
    <x v="0"/>
    <n v="30"/>
    <n v="0"/>
    <n v="30"/>
    <n v="0"/>
  </r>
  <r>
    <s v="Mémoire"/>
    <s v="Gestion Memoire"/>
    <s v="listes"/>
    <s v="Liste des tableaux"/>
    <s v="Redaction"/>
    <x v="0"/>
    <n v="15"/>
    <n v="0"/>
    <n v="15"/>
    <n v="0"/>
  </r>
  <r>
    <s v="Mémoire"/>
    <s v="Gestion Memoire"/>
    <s v="listes"/>
    <s v="Liste des figures"/>
    <s v="Redaction"/>
    <x v="0"/>
    <n v="15"/>
    <n v="0"/>
    <n v="15"/>
    <n v="0"/>
  </r>
  <r>
    <s v="Mémoire"/>
    <s v="Gestion Memoire"/>
    <s v="finitions"/>
    <s v="Remerciements"/>
    <s v="Redaction"/>
    <x v="0"/>
    <n v="30"/>
    <n v="0"/>
    <n v="30"/>
    <n v="0"/>
  </r>
  <r>
    <s v="Mémoire"/>
    <s v="Gestion Memoire"/>
    <s v="finitions"/>
    <s v="Page de titre"/>
    <s v="Redaction"/>
    <x v="0"/>
    <n v="15"/>
    <n v="0"/>
    <n v="15"/>
    <n v="0"/>
  </r>
  <r>
    <s v="Mémoire"/>
    <s v="Gestion Memoire"/>
    <s v="finitions"/>
    <s v="Jury"/>
    <s v="Redaction"/>
    <x v="0"/>
    <n v="15"/>
    <n v="0"/>
    <n v="15"/>
    <n v="0"/>
  </r>
  <r>
    <s v="Mémoire"/>
    <s v="Gestion Memoire"/>
    <s v="finitions"/>
    <s v="Table des matières"/>
    <s v="Redaction"/>
    <x v="0"/>
    <n v="30"/>
    <n v="0"/>
    <n v="30"/>
    <n v="0"/>
  </r>
  <r>
    <s v="Mémoire"/>
    <s v="Gestion Memoire"/>
    <s v="relecture"/>
    <s v="Envoyer à l'encadreur"/>
    <s v="Gestion"/>
    <x v="0"/>
    <n v="15"/>
    <n v="0"/>
    <n v="15"/>
    <n v="0"/>
  </r>
  <r>
    <s v="Mémoire"/>
    <s v="Gestion Memoire"/>
    <s v="relecture"/>
    <s v="Envoyer au relecteur"/>
    <s v="Gestion"/>
    <x v="0"/>
    <n v="15"/>
    <n v="0"/>
    <n v="15"/>
    <n v="0"/>
  </r>
  <r>
    <s v="Mémoire"/>
    <s v="Gestion Memoire"/>
    <s v="relecture"/>
    <s v="Corrections : avant-propos et introduction"/>
    <s v="Redaction"/>
    <x v="0"/>
    <n v="30"/>
    <n v="0"/>
    <n v="30"/>
    <n v="0"/>
  </r>
  <r>
    <s v="Mémoire"/>
    <s v="Gestion Memoire"/>
    <s v="relecture"/>
    <s v="Corrections : chapitre 1"/>
    <s v="Redaction"/>
    <x v="0"/>
    <n v="30"/>
    <n v="0"/>
    <n v="30"/>
    <n v="0"/>
  </r>
  <r>
    <s v="Mémoire"/>
    <s v="Gestion Memoire"/>
    <s v="relecture"/>
    <s v="Corrections : chapitre 2 (conception)"/>
    <s v="Redaction"/>
    <x v="0"/>
    <n v="30"/>
    <n v="0"/>
    <n v="30"/>
    <n v="0"/>
  </r>
  <r>
    <s v="Mémoire"/>
    <s v="Gestion Memoire"/>
    <s v="relecture"/>
    <s v="Corrections : chapitre 2 (modules)"/>
    <s v="Redaction"/>
    <x v="0"/>
    <n v="30"/>
    <n v="0"/>
    <n v="30"/>
    <n v="0"/>
  </r>
  <r>
    <s v="Mémoire"/>
    <s v="Gestion Memoire"/>
    <s v="relecture"/>
    <s v="Corrections : chapitre 3 et conclusion"/>
    <s v="Redaction"/>
    <x v="0"/>
    <n v="30"/>
    <n v="0"/>
    <n v="30"/>
    <n v="0"/>
  </r>
  <r>
    <s v="Mémoire"/>
    <s v="Gestion Memoire"/>
    <s v="relecture"/>
    <s v="Corrections : bibliographie et annexes"/>
    <s v="Redaction"/>
    <x v="0"/>
    <n v="30"/>
    <n v="0"/>
    <n v="30"/>
    <n v="0"/>
  </r>
  <r>
    <s v="Mémoire"/>
    <s v="Gestion Memoire"/>
    <s v="relecture"/>
    <s v="Correcteur d'orthographe"/>
    <s v="Redaction"/>
    <x v="0"/>
    <n v="30"/>
    <n v="0"/>
    <n v="30"/>
    <n v="0"/>
  </r>
  <r>
    <s v="Mémoire"/>
    <s v="Gestion Memoire"/>
    <s v="relecture"/>
    <s v="Qualité et droits des images"/>
    <s v="Redaction"/>
    <x v="0"/>
    <n v="30"/>
    <n v="0"/>
    <n v="30"/>
    <n v="0"/>
  </r>
  <r>
    <s v="Mémoire"/>
    <s v="Gestion Memoire"/>
    <s v="relecture"/>
    <s v="Mise en page finale"/>
    <s v="Redaction"/>
    <x v="0"/>
    <n v="30"/>
    <n v="0"/>
    <n v="30"/>
    <n v="0"/>
  </r>
  <r>
    <s v="Gestion de projet"/>
    <s v="Gestion Suivi"/>
    <s v="pointHebdo"/>
    <s v="Point avec l'encadrant : semaine 1"/>
    <s v="Gestion"/>
    <x v="0"/>
    <n v="45"/>
    <n v="0"/>
    <n v="45"/>
    <n v="0"/>
  </r>
  <r>
    <s v="Gestion de projet"/>
    <s v="Gestion Suivi"/>
    <s v="carnetDeBord"/>
    <s v="Carnet de bord : semaine 1"/>
    <s v="Gestion"/>
    <x v="0"/>
    <n v="25"/>
    <n v="0"/>
    <n v="25"/>
    <n v="0"/>
  </r>
  <r>
    <s v="Gestion de projet"/>
    <s v="Gestion Suivi"/>
    <s v="bilanSemaine"/>
    <s v="Bilan de la semaine 1"/>
    <s v="Gestion"/>
    <x v="0"/>
    <n v="15"/>
    <n v="0"/>
    <n v="15"/>
    <n v="0"/>
  </r>
  <r>
    <s v="Gestion de projet"/>
    <s v="Gestion Suivi"/>
    <s v="pointHebdo"/>
    <s v="Point avec l'encadrant : semaine 2"/>
    <s v="Gestion"/>
    <x v="0"/>
    <n v="45"/>
    <n v="0"/>
    <n v="45"/>
    <n v="0"/>
  </r>
  <r>
    <s v="Gestion de projet"/>
    <s v="Gestion Suivi"/>
    <s v="carnetDeBord"/>
    <s v="Carnet de bord : semaine 2"/>
    <s v="Gestion"/>
    <x v="0"/>
    <n v="25"/>
    <n v="0"/>
    <n v="25"/>
    <n v="0"/>
  </r>
  <r>
    <s v="Gestion de projet"/>
    <s v="Gestion Suivi"/>
    <s v="bilanSemaine"/>
    <s v="Bilan de la semaine 2"/>
    <s v="Gestion"/>
    <x v="0"/>
    <n v="15"/>
    <n v="0"/>
    <n v="15"/>
    <n v="0"/>
  </r>
  <r>
    <s v="Gestion de projet"/>
    <s v="Gestion Suivi"/>
    <s v="pointHebdo"/>
    <s v="Point avec l'encadrant : semaine 3"/>
    <s v="Gestion"/>
    <x v="0"/>
    <n v="45"/>
    <n v="0"/>
    <n v="45"/>
    <n v="0"/>
  </r>
  <r>
    <s v="Gestion de projet"/>
    <s v="Gestion Suivi"/>
    <s v="carnetDeBord"/>
    <s v="Carnet de bord : semaine 3"/>
    <s v="Gestion"/>
    <x v="0"/>
    <n v="25"/>
    <n v="0"/>
    <n v="25"/>
    <n v="0"/>
  </r>
  <r>
    <s v="Gestion de projet"/>
    <s v="Gestion Suivi"/>
    <s v="bilanSemaine"/>
    <s v="Bilan de la semaine 3"/>
    <s v="Gestion"/>
    <x v="0"/>
    <n v="15"/>
    <n v="0"/>
    <n v="15"/>
    <n v="0"/>
  </r>
  <r>
    <s v="Gestion de projet"/>
    <s v="Gestion Suivi"/>
    <s v="pointHebdo"/>
    <s v="Point avec l'encadrant : semaine 4"/>
    <s v="Gestion"/>
    <x v="0"/>
    <n v="45"/>
    <n v="0"/>
    <n v="45"/>
    <n v="0"/>
  </r>
  <r>
    <s v="Gestion de projet"/>
    <s v="Gestion Suivi"/>
    <s v="carnetDeBord"/>
    <s v="Carnet de bord : semaine 4"/>
    <s v="Gestion"/>
    <x v="0"/>
    <n v="25"/>
    <n v="0"/>
    <n v="25"/>
    <n v="0"/>
  </r>
  <r>
    <s v="Gestion de projet"/>
    <s v="Gestion Suivi"/>
    <s v="bilanSemaine"/>
    <s v="Bilan de la semaine 4"/>
    <s v="Gestion"/>
    <x v="0"/>
    <n v="15"/>
    <n v="0"/>
    <n v="15"/>
    <n v="0"/>
  </r>
  <r>
    <s v="Gestion de projet"/>
    <s v="Gestion Suivi"/>
    <s v="pointHebdo"/>
    <s v="Point avec l'encadrant : semaine 5"/>
    <s v="Gestion"/>
    <x v="0"/>
    <n v="45"/>
    <n v="0"/>
    <n v="45"/>
    <n v="0"/>
  </r>
  <r>
    <s v="Gestion de projet"/>
    <s v="Gestion Suivi"/>
    <s v="carnetDeBord"/>
    <s v="Carnet de bord : semaine 5"/>
    <s v="Gestion"/>
    <x v="0"/>
    <n v="25"/>
    <n v="0"/>
    <n v="25"/>
    <n v="0"/>
  </r>
  <r>
    <s v="Gestion de projet"/>
    <s v="Gestion Suivi"/>
    <s v="bilanSemaine"/>
    <s v="Bilan de la semaine 5"/>
    <s v="Gestion"/>
    <x v="0"/>
    <n v="15"/>
    <n v="0"/>
    <n v="15"/>
    <n v="0"/>
  </r>
  <r>
    <s v="Gestion de projet"/>
    <s v="Gestion Suivi"/>
    <s v="pointHebdo"/>
    <s v="Point avec l'encadrant : semaine 6"/>
    <s v="Gestion"/>
    <x v="0"/>
    <n v="45"/>
    <n v="0"/>
    <n v="45"/>
    <n v="0"/>
  </r>
  <r>
    <s v="Gestion de projet"/>
    <s v="Gestion Suivi"/>
    <s v="carnetDeBord"/>
    <s v="Carnet de bord : semaine 6"/>
    <s v="Gestion"/>
    <x v="0"/>
    <n v="25"/>
    <n v="0"/>
    <n v="25"/>
    <n v="0"/>
  </r>
  <r>
    <s v="Gestion de projet"/>
    <s v="Gestion Suivi"/>
    <s v="bilanSemaine"/>
    <s v="Bilan de la semaine 6"/>
    <s v="Gestion"/>
    <x v="0"/>
    <n v="15"/>
    <n v="0"/>
    <n v="15"/>
    <n v="0"/>
  </r>
  <r>
    <s v="Gestion de projet"/>
    <s v="Gestion Suivi"/>
    <s v="pointHebdo"/>
    <s v="Point avec l'encadrant : semaine 7"/>
    <s v="Gestion"/>
    <x v="0"/>
    <n v="45"/>
    <n v="0"/>
    <n v="45"/>
    <n v="0"/>
  </r>
  <r>
    <s v="Gestion de projet"/>
    <s v="Gestion Suivi"/>
    <s v="carnetDeBord"/>
    <s v="Carnet de bord : semaine 7"/>
    <s v="Gestion"/>
    <x v="0"/>
    <n v="25"/>
    <n v="0"/>
    <n v="25"/>
    <n v="0"/>
  </r>
  <r>
    <s v="Gestion de projet"/>
    <s v="Gestion Suivi"/>
    <s v="bilanSemaine"/>
    <s v="Bilan de la semaine 7"/>
    <s v="Gestion"/>
    <x v="0"/>
    <n v="15"/>
    <n v="0"/>
    <n v="15"/>
    <n v="0"/>
  </r>
  <r>
    <s v="Gestion de projet"/>
    <s v="Gestion Suivi"/>
    <s v="pointHebdo"/>
    <s v="Point avec l'encadrant : semaine 8"/>
    <s v="Gestion"/>
    <x v="0"/>
    <n v="45"/>
    <n v="0"/>
    <n v="45"/>
    <n v="0"/>
  </r>
  <r>
    <s v="Gestion de projet"/>
    <s v="Gestion Suivi"/>
    <s v="carnetDeBord"/>
    <s v="Carnet de bord : semaine 8"/>
    <s v="Gestion"/>
    <x v="0"/>
    <n v="25"/>
    <n v="0"/>
    <n v="25"/>
    <n v="0"/>
  </r>
  <r>
    <s v="Gestion de projet"/>
    <s v="Gestion Suivi"/>
    <s v="bilanSemaine"/>
    <s v="Bilan de la semaine 8"/>
    <s v="Gestion"/>
    <x v="0"/>
    <n v="15"/>
    <n v="0"/>
    <n v="15"/>
    <n v="0"/>
  </r>
  <r>
    <s v="Gestion de projet"/>
    <s v="Gestion Suivi"/>
    <s v="pointHebdo"/>
    <s v="Point avec l'encadrant : semaine 9"/>
    <s v="Gestion"/>
    <x v="0"/>
    <n v="45"/>
    <n v="0"/>
    <n v="45"/>
    <n v="0"/>
  </r>
  <r>
    <s v="Gestion de projet"/>
    <s v="Gestion Suivi"/>
    <s v="carnetDeBord"/>
    <s v="Carnet de bord : semaine 9"/>
    <s v="Gestion"/>
    <x v="0"/>
    <n v="25"/>
    <n v="0"/>
    <n v="25"/>
    <n v="0"/>
  </r>
  <r>
    <s v="Gestion de projet"/>
    <s v="Gestion Suivi"/>
    <s v="bilanSemaine"/>
    <s v="Bilan de la semaine 9"/>
    <s v="Gestion"/>
    <x v="0"/>
    <n v="15"/>
    <n v="0"/>
    <n v="15"/>
    <n v="0"/>
  </r>
  <r>
    <s v="Gestion de projet"/>
    <s v="Gestion Suivi"/>
    <s v="pointHebdo"/>
    <s v="Point avec l'encadrant : semaine 10"/>
    <s v="Gestion"/>
    <x v="0"/>
    <n v="45"/>
    <n v="0"/>
    <n v="45"/>
    <n v="0"/>
  </r>
  <r>
    <s v="Gestion de projet"/>
    <s v="Gestion Suivi"/>
    <s v="carnetDeBord"/>
    <s v="Carnet de bord : semaine 10"/>
    <s v="Gestion"/>
    <x v="0"/>
    <n v="25"/>
    <n v="0"/>
    <n v="25"/>
    <n v="0"/>
  </r>
  <r>
    <s v="Gestion de projet"/>
    <s v="Gestion Suivi"/>
    <s v="bilanSemaine"/>
    <s v="Bilan de la semaine 10"/>
    <s v="Gestion"/>
    <x v="0"/>
    <n v="15"/>
    <n v="0"/>
    <n v="15"/>
    <n v="0"/>
  </r>
  <r>
    <s v="Gestion de projet"/>
    <s v="Gestion Suivi"/>
    <s v="pointHebdo"/>
    <s v="Point avec l'encadrant : semaine 11"/>
    <s v="Gestion"/>
    <x v="0"/>
    <n v="45"/>
    <n v="0"/>
    <n v="45"/>
    <n v="0"/>
  </r>
  <r>
    <s v="Gestion de projet"/>
    <s v="Gestion Suivi"/>
    <s v="carnetDeBord"/>
    <s v="Carnet de bord : semaine 11"/>
    <s v="Gestion"/>
    <x v="0"/>
    <n v="25"/>
    <n v="0"/>
    <n v="25"/>
    <n v="0"/>
  </r>
  <r>
    <s v="Gestion de projet"/>
    <s v="Gestion Suivi"/>
    <s v="bilanSemaine"/>
    <s v="Bilan de la semaine 11"/>
    <s v="Gestion"/>
    <x v="0"/>
    <n v="15"/>
    <n v="0"/>
    <n v="15"/>
    <n v="0"/>
  </r>
  <r>
    <s v="Gestion de projet"/>
    <s v="Gestion Suivi"/>
    <s v="pointHebdo"/>
    <s v="Point avec l'encadrant : semaine 12"/>
    <s v="Gestion"/>
    <x v="0"/>
    <n v="45"/>
    <n v="0"/>
    <n v="45"/>
    <n v="0"/>
  </r>
  <r>
    <s v="Gestion de projet"/>
    <s v="Gestion Suivi"/>
    <s v="carnetDeBord"/>
    <s v="Carnet de bord : semaine 12"/>
    <s v="Gestion"/>
    <x v="0"/>
    <n v="25"/>
    <n v="0"/>
    <n v="25"/>
    <n v="0"/>
  </r>
  <r>
    <s v="Gestion de projet"/>
    <s v="Gestion Suivi"/>
    <s v="bilanSemaine"/>
    <s v="Bilan de la semaine 12"/>
    <s v="Gestion"/>
    <x v="0"/>
    <n v="15"/>
    <n v="0"/>
    <n v="15"/>
    <n v="0"/>
  </r>
  <r>
    <s v="Gestion de projet"/>
    <s v="Gestion Suivi"/>
    <s v="pointHebdo"/>
    <s v="Point avec l'encadrant : semaine 13"/>
    <s v="Gestion"/>
    <x v="0"/>
    <n v="45"/>
    <n v="0"/>
    <n v="45"/>
    <n v="0"/>
  </r>
  <r>
    <s v="Gestion de projet"/>
    <s v="Gestion Suivi"/>
    <s v="carnetDeBord"/>
    <s v="Carnet de bord : semaine 13"/>
    <s v="Gestion"/>
    <x v="0"/>
    <n v="30"/>
    <n v="0"/>
    <n v="30"/>
    <n v="0"/>
  </r>
  <r>
    <s v="Gestion de projet"/>
    <s v="Gestion Suivi"/>
    <s v="bilanSemaine"/>
    <s v="Bilan de la semaine 13"/>
    <s v="Gestion"/>
    <x v="0"/>
    <n v="15"/>
    <n v="0"/>
    <n v="1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Recap" cacheId="3" applyNumberFormats="0" applyBorderFormats="0" applyFontFormats="0" applyPatternFormats="0" applyAlignmentFormats="0" applyWidthHeightFormats="0" dataCaption="" updatedVersion="7" compact="0" compactData="0">
  <location ref="A1:D3" firstHeaderRow="1" firstDataRow="2" firstDataCol="1"/>
  <pivotFields count="10">
    <pivotField name="Catégorie" compact="0" outline="0" multipleItemSelectionAllowed="1" showAll="0"/>
    <pivotField name="Module" compact="0" outline="0" multipleItemSelectionAllowed="1" showAll="0"/>
    <pivotField name="Page" compact="0" outline="0" multipleItemSelectionAllowed="1" showAll="0"/>
    <pivotField name="Description tâche" compact="0" outline="0" multipleItemSelectionAllowed="1" showAll="0"/>
    <pivotField name="Type" compact="0" outline="0" multipleItemSelectionAllowed="1" showAll="0"/>
    <pivotField name="Qui" axis="axisRow" compact="0" outline="0" multipleItemSelectionAllowed="1" showAll="0">
      <items count="2">
        <item x="0"/>
        <item t="default"/>
      </items>
    </pivotField>
    <pivotField name="Estimation" dataField="1" compact="0" outline="0" multipleItemSelectionAllowed="1" showAll="0"/>
    <pivotField name="Temps passé" dataField="1" compact="0" outline="0" multipleItemSelectionAllowed="1" showAll="0"/>
    <pivotField name="Reste à faire" dataField="1" compact="0" outline="0" multipleItemSelectionAllowed="1" showAll="0"/>
    <pivotField name="Avancement" compact="0" numFmtId="9" outline="0" multipleItemSelectionAllowed="1" showAll="0"/>
  </pivotFields>
  <rowFields count="1">
    <field x="5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stimation" fld="6" baseField="0"/>
    <dataField name="SUM of Temps passé" fld="7" baseField="0"/>
    <dataField name="SUM of Reste à faire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baseColWidth="10" defaultColWidth="12.5703125" defaultRowHeight="15" customHeight="1"/>
  <cols>
    <col min="1" max="6" width="12.5703125" customWidth="1"/>
  </cols>
  <sheetData>
    <row r="1" spans="1:2" ht="15.75" customHeight="1">
      <c r="A1" s="1" t="s">
        <v>0</v>
      </c>
      <c r="B1" s="1" t="s">
        <v>3</v>
      </c>
    </row>
    <row r="2" spans="1:2" ht="15.75" customHeight="1">
      <c r="A2" s="1"/>
      <c r="B2" s="1"/>
    </row>
    <row r="3" spans="1:2" ht="15.75" customHeight="1">
      <c r="A3" s="1"/>
      <c r="B3" s="1"/>
    </row>
    <row r="4" spans="1:2" ht="15.75" customHeight="1">
      <c r="A4" s="1"/>
      <c r="B4" s="1"/>
    </row>
    <row r="5" spans="1:2" ht="15.75" customHeight="1"/>
    <row r="6" spans="1:2" ht="15.75" customHeight="1"/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tabSelected="1" topLeftCell="D1" zoomScale="89" zoomScaleNormal="89" workbookViewId="0">
      <pane ySplit="1" topLeftCell="A45" activePane="bottomLeft" state="frozen"/>
      <selection pane="bottomLeft" activeCell="J51" sqref="J51"/>
    </sheetView>
  </sheetViews>
  <sheetFormatPr baseColWidth="10" defaultColWidth="12.5703125" defaultRowHeight="15" customHeight="1"/>
  <cols>
    <col min="1" max="1" width="5.85546875" customWidth="1"/>
    <col min="2" max="2" width="22" customWidth="1"/>
    <col min="3" max="3" width="32" customWidth="1"/>
    <col min="4" max="4" width="24" customWidth="1"/>
    <col min="5" max="5" width="80" customWidth="1"/>
    <col min="6" max="6" width="14" customWidth="1"/>
    <col min="7" max="7" width="13" customWidth="1"/>
    <col min="8" max="9" width="12" customWidth="1"/>
    <col min="10" max="10" width="13" customWidth="1"/>
    <col min="11" max="11" width="12" customWidth="1"/>
    <col min="12" max="12" width="14" customWidth="1"/>
  </cols>
  <sheetData>
    <row r="1" spans="1:12" ht="15.75" customHeight="1">
      <c r="A1" s="2" t="s">
        <v>1</v>
      </c>
      <c r="B1" s="4" t="s">
        <v>4</v>
      </c>
      <c r="C1" s="4" t="s">
        <v>7</v>
      </c>
      <c r="D1" s="4" t="s">
        <v>9</v>
      </c>
      <c r="E1" s="4" t="s">
        <v>11</v>
      </c>
      <c r="F1" s="6" t="s">
        <v>13</v>
      </c>
      <c r="G1" s="6" t="s">
        <v>14</v>
      </c>
      <c r="H1" s="6" t="s">
        <v>15</v>
      </c>
      <c r="I1" s="6" t="s">
        <v>16</v>
      </c>
      <c r="J1" s="6" t="s">
        <v>17</v>
      </c>
      <c r="K1" s="6" t="s">
        <v>18</v>
      </c>
      <c r="L1" s="7" t="s">
        <v>19</v>
      </c>
    </row>
    <row r="2" spans="1:12" ht="12.75" customHeight="1">
      <c r="A2" s="8">
        <v>1</v>
      </c>
      <c r="B2" s="8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8" t="s">
        <v>0</v>
      </c>
      <c r="H2" s="1">
        <v>45</v>
      </c>
      <c r="I2" s="10">
        <f>detail_avancement!B2</f>
        <v>45</v>
      </c>
      <c r="J2" s="10">
        <f t="shared" ref="J2:J923" si="0">MAX(0,H2-I2)</f>
        <v>0</v>
      </c>
      <c r="K2" s="13">
        <f t="shared" ref="K2:K923" si="1">IF(H2=0,0,MIN(1,I2/H2))</f>
        <v>1</v>
      </c>
      <c r="L2" s="14">
        <f t="shared" ref="L2:L923" si="2">IF(I2&gt;H2,I2-H2,0)</f>
        <v>0</v>
      </c>
    </row>
    <row r="3" spans="1:12" ht="12.75" customHeight="1">
      <c r="A3" s="8">
        <v>2</v>
      </c>
      <c r="B3" s="8" t="s">
        <v>20</v>
      </c>
      <c r="C3" s="1" t="s">
        <v>21</v>
      </c>
      <c r="D3" s="1" t="s">
        <v>22</v>
      </c>
      <c r="E3" s="1" t="s">
        <v>25</v>
      </c>
      <c r="F3" s="1" t="s">
        <v>24</v>
      </c>
      <c r="G3" s="8" t="s">
        <v>0</v>
      </c>
      <c r="H3" s="1">
        <v>30</v>
      </c>
      <c r="I3" s="10">
        <f>detail_avancement!B3</f>
        <v>30</v>
      </c>
      <c r="J3" s="10">
        <f t="shared" si="0"/>
        <v>0</v>
      </c>
      <c r="K3" s="13">
        <f t="shared" si="1"/>
        <v>1</v>
      </c>
      <c r="L3" s="14">
        <f t="shared" si="2"/>
        <v>0</v>
      </c>
    </row>
    <row r="4" spans="1:12" ht="12.75" customHeight="1">
      <c r="A4" s="8">
        <v>3</v>
      </c>
      <c r="B4" s="8" t="s">
        <v>20</v>
      </c>
      <c r="C4" s="1" t="s">
        <v>21</v>
      </c>
      <c r="D4" s="1" t="s">
        <v>22</v>
      </c>
      <c r="E4" s="1" t="s">
        <v>27</v>
      </c>
      <c r="F4" s="1" t="s">
        <v>24</v>
      </c>
      <c r="G4" s="8" t="s">
        <v>0</v>
      </c>
      <c r="H4" s="1">
        <v>45</v>
      </c>
      <c r="I4" s="10">
        <f>detail_avancement!B4</f>
        <v>45</v>
      </c>
      <c r="J4" s="10">
        <f t="shared" si="0"/>
        <v>0</v>
      </c>
      <c r="K4" s="13">
        <f t="shared" si="1"/>
        <v>1</v>
      </c>
      <c r="L4" s="14">
        <f t="shared" si="2"/>
        <v>0</v>
      </c>
    </row>
    <row r="5" spans="1:12" ht="12.75" customHeight="1">
      <c r="A5" s="8">
        <v>4</v>
      </c>
      <c r="B5" s="8" t="s">
        <v>20</v>
      </c>
      <c r="C5" s="1" t="s">
        <v>21</v>
      </c>
      <c r="D5" s="1" t="s">
        <v>22</v>
      </c>
      <c r="E5" s="1" t="s">
        <v>28</v>
      </c>
      <c r="F5" s="1" t="s">
        <v>24</v>
      </c>
      <c r="G5" s="8" t="s">
        <v>0</v>
      </c>
      <c r="H5" s="1">
        <v>30</v>
      </c>
      <c r="I5" s="10">
        <f>detail_avancement!B5</f>
        <v>30</v>
      </c>
      <c r="J5" s="10">
        <f t="shared" si="0"/>
        <v>0</v>
      </c>
      <c r="K5" s="13">
        <f t="shared" si="1"/>
        <v>1</v>
      </c>
      <c r="L5" s="14">
        <f t="shared" si="2"/>
        <v>0</v>
      </c>
    </row>
    <row r="6" spans="1:12" ht="12.75" customHeight="1">
      <c r="A6" s="8">
        <v>5</v>
      </c>
      <c r="B6" s="8" t="s">
        <v>20</v>
      </c>
      <c r="C6" s="1" t="s">
        <v>21</v>
      </c>
      <c r="D6" s="1" t="s">
        <v>22</v>
      </c>
      <c r="E6" s="1" t="s">
        <v>29</v>
      </c>
      <c r="F6" s="1" t="s">
        <v>24</v>
      </c>
      <c r="G6" s="8" t="s">
        <v>0</v>
      </c>
      <c r="H6" s="1">
        <v>45</v>
      </c>
      <c r="I6" s="10">
        <f>detail_avancement!B6</f>
        <v>45</v>
      </c>
      <c r="J6" s="10">
        <f t="shared" si="0"/>
        <v>0</v>
      </c>
      <c r="K6" s="13">
        <f t="shared" si="1"/>
        <v>1</v>
      </c>
      <c r="L6" s="14">
        <f t="shared" si="2"/>
        <v>0</v>
      </c>
    </row>
    <row r="7" spans="1:12" ht="12.75" customHeight="1">
      <c r="A7" s="8">
        <v>6</v>
      </c>
      <c r="B7" s="8" t="s">
        <v>20</v>
      </c>
      <c r="C7" s="1" t="s">
        <v>21</v>
      </c>
      <c r="D7" s="1" t="s">
        <v>22</v>
      </c>
      <c r="E7" s="1" t="s">
        <v>30</v>
      </c>
      <c r="F7" s="1" t="s">
        <v>24</v>
      </c>
      <c r="G7" s="8" t="s">
        <v>0</v>
      </c>
      <c r="H7" s="1">
        <v>45</v>
      </c>
      <c r="I7" s="10">
        <f>detail_avancement!B7</f>
        <v>45</v>
      </c>
      <c r="J7" s="10">
        <f t="shared" si="0"/>
        <v>0</v>
      </c>
      <c r="K7" s="13">
        <f t="shared" si="1"/>
        <v>1</v>
      </c>
      <c r="L7" s="14">
        <f t="shared" si="2"/>
        <v>0</v>
      </c>
    </row>
    <row r="8" spans="1:12" ht="12.75" customHeight="1">
      <c r="A8" s="8">
        <v>7</v>
      </c>
      <c r="B8" s="8" t="s">
        <v>20</v>
      </c>
      <c r="C8" s="1" t="s">
        <v>21</v>
      </c>
      <c r="D8" s="1" t="s">
        <v>22</v>
      </c>
      <c r="E8" s="1" t="s">
        <v>32</v>
      </c>
      <c r="F8" s="1" t="s">
        <v>24</v>
      </c>
      <c r="G8" s="8" t="s">
        <v>0</v>
      </c>
      <c r="H8" s="1">
        <v>30</v>
      </c>
      <c r="I8" s="10">
        <f>detail_avancement!B8</f>
        <v>30</v>
      </c>
      <c r="J8" s="10">
        <f t="shared" si="0"/>
        <v>0</v>
      </c>
      <c r="K8" s="13">
        <f t="shared" si="1"/>
        <v>1</v>
      </c>
      <c r="L8" s="14">
        <f t="shared" si="2"/>
        <v>0</v>
      </c>
    </row>
    <row r="9" spans="1:12" ht="12.75" customHeight="1">
      <c r="A9" s="8">
        <v>8</v>
      </c>
      <c r="B9" s="8" t="s">
        <v>20</v>
      </c>
      <c r="C9" s="1" t="s">
        <v>21</v>
      </c>
      <c r="D9" s="1" t="s">
        <v>22</v>
      </c>
      <c r="E9" s="1" t="s">
        <v>33</v>
      </c>
      <c r="F9" s="1" t="s">
        <v>24</v>
      </c>
      <c r="G9" s="8" t="s">
        <v>0</v>
      </c>
      <c r="H9" s="1">
        <v>30</v>
      </c>
      <c r="I9" s="10">
        <f>detail_avancement!B9</f>
        <v>30</v>
      </c>
      <c r="J9" s="10">
        <f t="shared" si="0"/>
        <v>0</v>
      </c>
      <c r="K9" s="13">
        <f t="shared" si="1"/>
        <v>1</v>
      </c>
      <c r="L9" s="14">
        <f t="shared" si="2"/>
        <v>0</v>
      </c>
    </row>
    <row r="10" spans="1:12" ht="12.75" customHeight="1">
      <c r="A10" s="8">
        <v>9</v>
      </c>
      <c r="B10" s="8" t="s">
        <v>20</v>
      </c>
      <c r="C10" s="1" t="s">
        <v>21</v>
      </c>
      <c r="D10" s="1" t="s">
        <v>22</v>
      </c>
      <c r="E10" s="1" t="s">
        <v>34</v>
      </c>
      <c r="F10" s="1" t="s">
        <v>24</v>
      </c>
      <c r="G10" s="8" t="s">
        <v>0</v>
      </c>
      <c r="H10" s="1">
        <v>30</v>
      </c>
      <c r="I10" s="10">
        <f>detail_avancement!B10</f>
        <v>30</v>
      </c>
      <c r="J10" s="10">
        <f t="shared" si="0"/>
        <v>0</v>
      </c>
      <c r="K10" s="13">
        <f t="shared" si="1"/>
        <v>1</v>
      </c>
      <c r="L10" s="14">
        <f t="shared" si="2"/>
        <v>0</v>
      </c>
    </row>
    <row r="11" spans="1:12" ht="12.75" customHeight="1">
      <c r="A11" s="8">
        <v>10</v>
      </c>
      <c r="B11" s="8" t="s">
        <v>20</v>
      </c>
      <c r="C11" s="1" t="s">
        <v>21</v>
      </c>
      <c r="D11" s="1" t="s">
        <v>22</v>
      </c>
      <c r="E11" s="1" t="s">
        <v>35</v>
      </c>
      <c r="F11" s="1" t="s">
        <v>24</v>
      </c>
      <c r="G11" s="8" t="s">
        <v>0</v>
      </c>
      <c r="H11" s="1">
        <v>30</v>
      </c>
      <c r="I11" s="10">
        <f>detail_avancement!B11</f>
        <v>30</v>
      </c>
      <c r="J11" s="10">
        <f t="shared" si="0"/>
        <v>0</v>
      </c>
      <c r="K11" s="13">
        <f t="shared" si="1"/>
        <v>1</v>
      </c>
      <c r="L11" s="14">
        <f t="shared" si="2"/>
        <v>0</v>
      </c>
    </row>
    <row r="12" spans="1:12" ht="12.75" customHeight="1">
      <c r="A12" s="8">
        <v>11</v>
      </c>
      <c r="B12" s="8" t="s">
        <v>20</v>
      </c>
      <c r="C12" s="1" t="s">
        <v>21</v>
      </c>
      <c r="D12" s="1" t="s">
        <v>22</v>
      </c>
      <c r="E12" s="1" t="s">
        <v>36</v>
      </c>
      <c r="F12" s="1" t="s">
        <v>24</v>
      </c>
      <c r="G12" s="8" t="s">
        <v>0</v>
      </c>
      <c r="H12" s="1">
        <v>60</v>
      </c>
      <c r="I12" s="10">
        <f>detail_avancement!B12</f>
        <v>60</v>
      </c>
      <c r="J12" s="10">
        <f t="shared" si="0"/>
        <v>0</v>
      </c>
      <c r="K12" s="13">
        <f t="shared" si="1"/>
        <v>1</v>
      </c>
      <c r="L12" s="14">
        <f t="shared" si="2"/>
        <v>0</v>
      </c>
    </row>
    <row r="13" spans="1:12" ht="12.75" customHeight="1">
      <c r="A13" s="8">
        <v>12</v>
      </c>
      <c r="B13" s="8" t="s">
        <v>20</v>
      </c>
      <c r="C13" s="1" t="s">
        <v>21</v>
      </c>
      <c r="D13" s="1" t="s">
        <v>22</v>
      </c>
      <c r="E13" s="1" t="s">
        <v>39</v>
      </c>
      <c r="F13" s="1" t="s">
        <v>24</v>
      </c>
      <c r="G13" s="8" t="s">
        <v>0</v>
      </c>
      <c r="H13" s="1">
        <v>60</v>
      </c>
      <c r="I13" s="10">
        <f>detail_avancement!B13</f>
        <v>60</v>
      </c>
      <c r="J13" s="10">
        <f t="shared" si="0"/>
        <v>0</v>
      </c>
      <c r="K13" s="13">
        <f t="shared" si="1"/>
        <v>1</v>
      </c>
      <c r="L13" s="14">
        <f t="shared" si="2"/>
        <v>0</v>
      </c>
    </row>
    <row r="14" spans="1:12" ht="12.75" customHeight="1">
      <c r="A14" s="8">
        <v>13</v>
      </c>
      <c r="B14" s="8" t="s">
        <v>20</v>
      </c>
      <c r="C14" s="1" t="s">
        <v>21</v>
      </c>
      <c r="D14" s="1" t="s">
        <v>22</v>
      </c>
      <c r="E14" s="1" t="s">
        <v>41</v>
      </c>
      <c r="F14" s="1" t="s">
        <v>24</v>
      </c>
      <c r="G14" s="8" t="s">
        <v>0</v>
      </c>
      <c r="H14" s="1">
        <v>45</v>
      </c>
      <c r="I14" s="10">
        <f>detail_avancement!B14</f>
        <v>45</v>
      </c>
      <c r="J14" s="10">
        <f t="shared" si="0"/>
        <v>0</v>
      </c>
      <c r="K14" s="13">
        <f t="shared" si="1"/>
        <v>1</v>
      </c>
      <c r="L14" s="14">
        <f t="shared" si="2"/>
        <v>0</v>
      </c>
    </row>
    <row r="15" spans="1:12" ht="12.75" customHeight="1">
      <c r="A15" s="8">
        <v>14</v>
      </c>
      <c r="B15" s="8" t="s">
        <v>20</v>
      </c>
      <c r="C15" s="1" t="s">
        <v>21</v>
      </c>
      <c r="D15" s="1" t="s">
        <v>22</v>
      </c>
      <c r="E15" s="1" t="s">
        <v>42</v>
      </c>
      <c r="F15" s="1" t="s">
        <v>24</v>
      </c>
      <c r="G15" s="8" t="s">
        <v>0</v>
      </c>
      <c r="H15" s="1">
        <v>30</v>
      </c>
      <c r="I15" s="10">
        <f>detail_avancement!B15</f>
        <v>30</v>
      </c>
      <c r="J15" s="10">
        <f t="shared" si="0"/>
        <v>0</v>
      </c>
      <c r="K15" s="13">
        <f t="shared" si="1"/>
        <v>1</v>
      </c>
      <c r="L15" s="14">
        <f t="shared" si="2"/>
        <v>0</v>
      </c>
    </row>
    <row r="16" spans="1:12" ht="12.75" customHeight="1">
      <c r="A16" s="8">
        <v>15</v>
      </c>
      <c r="B16" s="8" t="s">
        <v>20</v>
      </c>
      <c r="C16" s="1" t="s">
        <v>21</v>
      </c>
      <c r="D16" s="1" t="s">
        <v>22</v>
      </c>
      <c r="E16" s="1" t="s">
        <v>43</v>
      </c>
      <c r="F16" s="1" t="s">
        <v>24</v>
      </c>
      <c r="G16" s="8" t="s">
        <v>0</v>
      </c>
      <c r="H16" s="1">
        <v>45</v>
      </c>
      <c r="I16" s="10">
        <f>detail_avancement!B16</f>
        <v>45</v>
      </c>
      <c r="J16" s="10">
        <f t="shared" si="0"/>
        <v>0</v>
      </c>
      <c r="K16" s="13">
        <f t="shared" si="1"/>
        <v>1</v>
      </c>
      <c r="L16" s="14">
        <f t="shared" si="2"/>
        <v>0</v>
      </c>
    </row>
    <row r="17" spans="1:12" ht="12.75" customHeight="1">
      <c r="A17" s="8">
        <v>16</v>
      </c>
      <c r="B17" s="8" t="s">
        <v>20</v>
      </c>
      <c r="C17" s="1" t="s">
        <v>21</v>
      </c>
      <c r="D17" s="1" t="s">
        <v>22</v>
      </c>
      <c r="E17" s="1" t="s">
        <v>44</v>
      </c>
      <c r="F17" s="1" t="s">
        <v>24</v>
      </c>
      <c r="G17" s="8" t="s">
        <v>0</v>
      </c>
      <c r="H17" s="1">
        <v>45</v>
      </c>
      <c r="I17" s="10">
        <f>detail_avancement!B17</f>
        <v>45</v>
      </c>
      <c r="J17" s="10">
        <f t="shared" si="0"/>
        <v>0</v>
      </c>
      <c r="K17" s="13">
        <f t="shared" si="1"/>
        <v>1</v>
      </c>
      <c r="L17" s="14">
        <f t="shared" si="2"/>
        <v>0</v>
      </c>
    </row>
    <row r="18" spans="1:12" ht="12.75" customHeight="1">
      <c r="A18" s="8">
        <v>17</v>
      </c>
      <c r="B18" s="8" t="s">
        <v>20</v>
      </c>
      <c r="C18" s="1" t="s">
        <v>21</v>
      </c>
      <c r="D18" s="1" t="s">
        <v>22</v>
      </c>
      <c r="E18" s="1" t="s">
        <v>45</v>
      </c>
      <c r="F18" s="1" t="s">
        <v>24</v>
      </c>
      <c r="G18" s="8" t="s">
        <v>0</v>
      </c>
      <c r="H18" s="1">
        <v>30</v>
      </c>
      <c r="I18" s="10">
        <f>detail_avancement!B18</f>
        <v>30</v>
      </c>
      <c r="J18" s="10">
        <f t="shared" si="0"/>
        <v>0</v>
      </c>
      <c r="K18" s="13">
        <f t="shared" si="1"/>
        <v>1</v>
      </c>
      <c r="L18" s="14">
        <f t="shared" si="2"/>
        <v>0</v>
      </c>
    </row>
    <row r="19" spans="1:12" ht="12.75" customHeight="1">
      <c r="A19" s="8">
        <v>18</v>
      </c>
      <c r="B19" s="8" t="s">
        <v>20</v>
      </c>
      <c r="C19" s="1" t="s">
        <v>21</v>
      </c>
      <c r="D19" s="1" t="s">
        <v>22</v>
      </c>
      <c r="E19" s="1" t="s">
        <v>46</v>
      </c>
      <c r="F19" s="1" t="s">
        <v>24</v>
      </c>
      <c r="G19" s="8" t="s">
        <v>0</v>
      </c>
      <c r="H19" s="1">
        <v>45</v>
      </c>
      <c r="I19" s="10">
        <f>detail_avancement!B19</f>
        <v>45</v>
      </c>
      <c r="J19" s="10">
        <f t="shared" si="0"/>
        <v>0</v>
      </c>
      <c r="K19" s="13">
        <f t="shared" si="1"/>
        <v>1</v>
      </c>
      <c r="L19" s="14">
        <f t="shared" si="2"/>
        <v>0</v>
      </c>
    </row>
    <row r="20" spans="1:12" ht="12.75" customHeight="1">
      <c r="A20" s="8">
        <v>19</v>
      </c>
      <c r="B20" s="8" t="s">
        <v>20</v>
      </c>
      <c r="C20" s="1" t="s">
        <v>21</v>
      </c>
      <c r="D20" s="1" t="s">
        <v>22</v>
      </c>
      <c r="E20" s="1" t="s">
        <v>47</v>
      </c>
      <c r="F20" s="1" t="s">
        <v>24</v>
      </c>
      <c r="G20" s="8" t="s">
        <v>0</v>
      </c>
      <c r="H20" s="1">
        <v>45</v>
      </c>
      <c r="I20" s="10">
        <f>detail_avancement!B20</f>
        <v>45</v>
      </c>
      <c r="J20" s="10">
        <f t="shared" si="0"/>
        <v>0</v>
      </c>
      <c r="K20" s="13">
        <f t="shared" si="1"/>
        <v>1</v>
      </c>
      <c r="L20" s="14">
        <f t="shared" si="2"/>
        <v>0</v>
      </c>
    </row>
    <row r="21" spans="1:12" ht="15.75" customHeight="1">
      <c r="A21" s="8">
        <v>20</v>
      </c>
      <c r="B21" s="8" t="s">
        <v>20</v>
      </c>
      <c r="C21" s="1" t="s">
        <v>21</v>
      </c>
      <c r="D21" s="1" t="s">
        <v>22</v>
      </c>
      <c r="E21" s="1" t="s">
        <v>48</v>
      </c>
      <c r="F21" s="1" t="s">
        <v>24</v>
      </c>
      <c r="G21" s="8" t="s">
        <v>0</v>
      </c>
      <c r="H21" s="1">
        <v>30</v>
      </c>
      <c r="I21" s="10">
        <f>detail_avancement!B21</f>
        <v>30</v>
      </c>
      <c r="J21" s="10">
        <f t="shared" si="0"/>
        <v>0</v>
      </c>
      <c r="K21" s="13">
        <f t="shared" si="1"/>
        <v>1</v>
      </c>
      <c r="L21" s="14">
        <f t="shared" si="2"/>
        <v>0</v>
      </c>
    </row>
    <row r="22" spans="1:12" ht="15.75" customHeight="1">
      <c r="A22" s="8">
        <v>21</v>
      </c>
      <c r="B22" s="8" t="s">
        <v>20</v>
      </c>
      <c r="C22" s="1" t="s">
        <v>21</v>
      </c>
      <c r="D22" s="1" t="s">
        <v>22</v>
      </c>
      <c r="E22" s="1" t="s">
        <v>49</v>
      </c>
      <c r="F22" s="1" t="s">
        <v>24</v>
      </c>
      <c r="G22" s="8" t="s">
        <v>0</v>
      </c>
      <c r="H22" s="1">
        <v>30</v>
      </c>
      <c r="I22" s="10">
        <f>detail_avancement!B22</f>
        <v>30</v>
      </c>
      <c r="J22" s="10">
        <f t="shared" si="0"/>
        <v>0</v>
      </c>
      <c r="K22" s="13">
        <f t="shared" si="1"/>
        <v>1</v>
      </c>
      <c r="L22" s="14">
        <f t="shared" si="2"/>
        <v>0</v>
      </c>
    </row>
    <row r="23" spans="1:12" ht="15.75" customHeight="1">
      <c r="A23" s="8">
        <v>22</v>
      </c>
      <c r="B23" s="8" t="s">
        <v>20</v>
      </c>
      <c r="C23" s="1" t="s">
        <v>21</v>
      </c>
      <c r="D23" s="1" t="s">
        <v>22</v>
      </c>
      <c r="E23" s="1" t="s">
        <v>50</v>
      </c>
      <c r="F23" s="1" t="s">
        <v>24</v>
      </c>
      <c r="G23" s="8" t="s">
        <v>0</v>
      </c>
      <c r="H23" s="1">
        <v>30</v>
      </c>
      <c r="I23" s="10">
        <f>detail_avancement!B23</f>
        <v>30</v>
      </c>
      <c r="J23" s="10">
        <f t="shared" si="0"/>
        <v>0</v>
      </c>
      <c r="K23" s="13">
        <f t="shared" si="1"/>
        <v>1</v>
      </c>
      <c r="L23" s="14">
        <f t="shared" si="2"/>
        <v>0</v>
      </c>
    </row>
    <row r="24" spans="1:12" ht="15.75" customHeight="1">
      <c r="A24" s="8">
        <v>23</v>
      </c>
      <c r="B24" s="8" t="s">
        <v>20</v>
      </c>
      <c r="C24" s="1" t="s">
        <v>21</v>
      </c>
      <c r="D24" s="1" t="s">
        <v>22</v>
      </c>
      <c r="E24" s="1" t="s">
        <v>51</v>
      </c>
      <c r="F24" s="1" t="s">
        <v>24</v>
      </c>
      <c r="G24" s="8" t="s">
        <v>0</v>
      </c>
      <c r="H24" s="1">
        <v>45</v>
      </c>
      <c r="I24" s="10">
        <f>detail_avancement!B24</f>
        <v>0</v>
      </c>
      <c r="J24" s="10">
        <f t="shared" si="0"/>
        <v>45</v>
      </c>
      <c r="K24" s="13">
        <f t="shared" si="1"/>
        <v>0</v>
      </c>
      <c r="L24" s="14">
        <f t="shared" si="2"/>
        <v>0</v>
      </c>
    </row>
    <row r="25" spans="1:12" ht="15.75" customHeight="1">
      <c r="A25" s="8">
        <v>24</v>
      </c>
      <c r="B25" s="8" t="s">
        <v>20</v>
      </c>
      <c r="C25" s="1" t="s">
        <v>21</v>
      </c>
      <c r="D25" s="1" t="s">
        <v>52</v>
      </c>
      <c r="E25" s="1" t="s">
        <v>53</v>
      </c>
      <c r="F25" s="1" t="s">
        <v>24</v>
      </c>
      <c r="G25" s="8" t="s">
        <v>0</v>
      </c>
      <c r="H25" s="1">
        <v>45</v>
      </c>
      <c r="I25" s="10">
        <f>detail_avancement!B25</f>
        <v>0</v>
      </c>
      <c r="J25" s="10">
        <f t="shared" si="0"/>
        <v>45</v>
      </c>
      <c r="K25" s="13">
        <f t="shared" si="1"/>
        <v>0</v>
      </c>
      <c r="L25" s="14">
        <f t="shared" si="2"/>
        <v>0</v>
      </c>
    </row>
    <row r="26" spans="1:12" ht="15.75" customHeight="1">
      <c r="A26" s="8">
        <v>25</v>
      </c>
      <c r="B26" s="8" t="s">
        <v>20</v>
      </c>
      <c r="C26" s="1" t="s">
        <v>21</v>
      </c>
      <c r="D26" s="1" t="s">
        <v>52</v>
      </c>
      <c r="E26" s="1" t="s">
        <v>54</v>
      </c>
      <c r="F26" s="1" t="s">
        <v>24</v>
      </c>
      <c r="G26" s="8" t="s">
        <v>0</v>
      </c>
      <c r="H26" s="1">
        <v>30</v>
      </c>
      <c r="I26" s="10">
        <f>detail_avancement!B26</f>
        <v>30</v>
      </c>
      <c r="J26" s="10">
        <f t="shared" si="0"/>
        <v>0</v>
      </c>
      <c r="K26" s="13">
        <f t="shared" si="1"/>
        <v>1</v>
      </c>
      <c r="L26" s="14">
        <f t="shared" si="2"/>
        <v>0</v>
      </c>
    </row>
    <row r="27" spans="1:12" ht="15.75" customHeight="1">
      <c r="A27" s="8">
        <v>26</v>
      </c>
      <c r="B27" s="8" t="s">
        <v>20</v>
      </c>
      <c r="C27" s="1" t="s">
        <v>21</v>
      </c>
      <c r="D27" s="1" t="s">
        <v>52</v>
      </c>
      <c r="E27" s="1" t="s">
        <v>55</v>
      </c>
      <c r="F27" s="1" t="s">
        <v>24</v>
      </c>
      <c r="G27" s="8" t="s">
        <v>0</v>
      </c>
      <c r="H27" s="1">
        <v>30</v>
      </c>
      <c r="I27" s="10">
        <f>detail_avancement!B27</f>
        <v>30</v>
      </c>
      <c r="J27" s="10">
        <f t="shared" si="0"/>
        <v>0</v>
      </c>
      <c r="K27" s="13">
        <f t="shared" si="1"/>
        <v>1</v>
      </c>
      <c r="L27" s="14">
        <f t="shared" si="2"/>
        <v>0</v>
      </c>
    </row>
    <row r="28" spans="1:12" ht="15.75" customHeight="1">
      <c r="A28" s="8">
        <v>27</v>
      </c>
      <c r="B28" s="8" t="s">
        <v>20</v>
      </c>
      <c r="C28" s="1" t="s">
        <v>21</v>
      </c>
      <c r="D28" s="1" t="s">
        <v>52</v>
      </c>
      <c r="E28" s="1" t="s">
        <v>56</v>
      </c>
      <c r="F28" s="1" t="s">
        <v>24</v>
      </c>
      <c r="G28" s="8" t="s">
        <v>0</v>
      </c>
      <c r="H28" s="1">
        <v>30</v>
      </c>
      <c r="I28" s="10">
        <f>detail_avancement!B28</f>
        <v>30</v>
      </c>
      <c r="J28" s="10">
        <f t="shared" si="0"/>
        <v>0</v>
      </c>
      <c r="K28" s="13">
        <f t="shared" si="1"/>
        <v>1</v>
      </c>
      <c r="L28" s="14">
        <f t="shared" si="2"/>
        <v>0</v>
      </c>
    </row>
    <row r="29" spans="1:12" ht="15.75" customHeight="1">
      <c r="A29" s="8">
        <v>28</v>
      </c>
      <c r="B29" s="8" t="s">
        <v>20</v>
      </c>
      <c r="C29" s="1" t="s">
        <v>21</v>
      </c>
      <c r="D29" s="1" t="s">
        <v>52</v>
      </c>
      <c r="E29" s="1" t="s">
        <v>57</v>
      </c>
      <c r="F29" s="1" t="s">
        <v>24</v>
      </c>
      <c r="G29" s="8" t="s">
        <v>0</v>
      </c>
      <c r="H29" s="1">
        <v>30</v>
      </c>
      <c r="I29" s="10">
        <f>detail_avancement!B29</f>
        <v>30</v>
      </c>
      <c r="J29" s="10">
        <f t="shared" si="0"/>
        <v>0</v>
      </c>
      <c r="K29" s="13">
        <f t="shared" si="1"/>
        <v>1</v>
      </c>
      <c r="L29" s="14">
        <f t="shared" si="2"/>
        <v>0</v>
      </c>
    </row>
    <row r="30" spans="1:12" ht="15.75" customHeight="1">
      <c r="A30" s="8">
        <v>29</v>
      </c>
      <c r="B30" s="8" t="s">
        <v>20</v>
      </c>
      <c r="C30" s="1" t="s">
        <v>21</v>
      </c>
      <c r="D30" s="1" t="s">
        <v>52</v>
      </c>
      <c r="E30" s="1" t="s">
        <v>58</v>
      </c>
      <c r="F30" s="1" t="s">
        <v>24</v>
      </c>
      <c r="G30" s="8" t="s">
        <v>0</v>
      </c>
      <c r="H30" s="1">
        <v>45</v>
      </c>
      <c r="I30" s="10">
        <f>detail_avancement!B30</f>
        <v>45</v>
      </c>
      <c r="J30" s="10">
        <f t="shared" si="0"/>
        <v>0</v>
      </c>
      <c r="K30" s="13">
        <f t="shared" si="1"/>
        <v>1</v>
      </c>
      <c r="L30" s="14">
        <f t="shared" si="2"/>
        <v>0</v>
      </c>
    </row>
    <row r="31" spans="1:12" ht="15.75" customHeight="1">
      <c r="A31" s="8">
        <v>30</v>
      </c>
      <c r="B31" s="8" t="s">
        <v>20</v>
      </c>
      <c r="C31" s="1" t="s">
        <v>21</v>
      </c>
      <c r="D31" s="1" t="s">
        <v>52</v>
      </c>
      <c r="E31" s="1" t="s">
        <v>59</v>
      </c>
      <c r="F31" s="1" t="s">
        <v>24</v>
      </c>
      <c r="G31" s="8" t="s">
        <v>0</v>
      </c>
      <c r="H31" s="1">
        <v>30</v>
      </c>
      <c r="I31" s="10">
        <f>detail_avancement!B31</f>
        <v>30</v>
      </c>
      <c r="J31" s="10">
        <f t="shared" si="0"/>
        <v>0</v>
      </c>
      <c r="K31" s="13">
        <f t="shared" si="1"/>
        <v>1</v>
      </c>
      <c r="L31" s="14">
        <f t="shared" si="2"/>
        <v>0</v>
      </c>
    </row>
    <row r="32" spans="1:12" ht="15.75" customHeight="1">
      <c r="A32" s="8">
        <v>31</v>
      </c>
      <c r="B32" s="8" t="s">
        <v>20</v>
      </c>
      <c r="C32" s="1" t="s">
        <v>21</v>
      </c>
      <c r="D32" s="1" t="s">
        <v>60</v>
      </c>
      <c r="E32" s="1" t="s">
        <v>61</v>
      </c>
      <c r="F32" s="1" t="s">
        <v>62</v>
      </c>
      <c r="G32" s="8" t="s">
        <v>0</v>
      </c>
      <c r="H32" s="1">
        <v>15</v>
      </c>
      <c r="I32" s="10">
        <f>detail_avancement!B32</f>
        <v>15</v>
      </c>
      <c r="J32" s="10">
        <f t="shared" si="0"/>
        <v>0</v>
      </c>
      <c r="K32" s="13">
        <f t="shared" si="1"/>
        <v>1</v>
      </c>
      <c r="L32" s="14">
        <f t="shared" si="2"/>
        <v>0</v>
      </c>
    </row>
    <row r="33" spans="1:12" ht="15.75" customHeight="1">
      <c r="A33" s="8">
        <v>32</v>
      </c>
      <c r="B33" s="8" t="s">
        <v>20</v>
      </c>
      <c r="C33" s="1" t="s">
        <v>21</v>
      </c>
      <c r="D33" s="1" t="s">
        <v>60</v>
      </c>
      <c r="E33" s="1" t="s">
        <v>63</v>
      </c>
      <c r="F33" s="1" t="s">
        <v>62</v>
      </c>
      <c r="G33" s="8" t="s">
        <v>0</v>
      </c>
      <c r="H33" s="1">
        <v>30</v>
      </c>
      <c r="I33" s="10">
        <f>detail_avancement!B33</f>
        <v>0</v>
      </c>
      <c r="J33" s="10">
        <f t="shared" si="0"/>
        <v>30</v>
      </c>
      <c r="K33" s="13">
        <f t="shared" si="1"/>
        <v>0</v>
      </c>
      <c r="L33" s="14">
        <f t="shared" si="2"/>
        <v>0</v>
      </c>
    </row>
    <row r="34" spans="1:12" ht="15.75" customHeight="1">
      <c r="A34" s="8">
        <v>33</v>
      </c>
      <c r="B34" s="8" t="s">
        <v>20</v>
      </c>
      <c r="C34" s="1" t="s">
        <v>21</v>
      </c>
      <c r="D34" s="1" t="s">
        <v>60</v>
      </c>
      <c r="E34" s="1" t="s">
        <v>64</v>
      </c>
      <c r="F34" s="1" t="s">
        <v>62</v>
      </c>
      <c r="G34" s="8" t="s">
        <v>0</v>
      </c>
      <c r="H34" s="1">
        <v>15</v>
      </c>
      <c r="I34" s="10">
        <f>detail_avancement!B34</f>
        <v>0</v>
      </c>
      <c r="J34" s="10">
        <f t="shared" si="0"/>
        <v>15</v>
      </c>
      <c r="K34" s="13">
        <f t="shared" si="1"/>
        <v>0</v>
      </c>
      <c r="L34" s="14">
        <f t="shared" si="2"/>
        <v>0</v>
      </c>
    </row>
    <row r="35" spans="1:12" ht="15.75" customHeight="1">
      <c r="A35" s="8">
        <v>34</v>
      </c>
      <c r="B35" s="8" t="s">
        <v>20</v>
      </c>
      <c r="C35" s="1" t="s">
        <v>65</v>
      </c>
      <c r="D35" s="1" t="s">
        <v>66</v>
      </c>
      <c r="E35" s="1" t="s">
        <v>67</v>
      </c>
      <c r="F35" s="1" t="s">
        <v>68</v>
      </c>
      <c r="G35" s="8" t="s">
        <v>0</v>
      </c>
      <c r="H35" s="1">
        <v>45</v>
      </c>
      <c r="I35" s="10">
        <f>detail_avancement!B35</f>
        <v>45</v>
      </c>
      <c r="J35" s="10">
        <f t="shared" si="0"/>
        <v>0</v>
      </c>
      <c r="K35" s="13">
        <f t="shared" si="1"/>
        <v>1</v>
      </c>
      <c r="L35" s="14">
        <f t="shared" si="2"/>
        <v>0</v>
      </c>
    </row>
    <row r="36" spans="1:12" ht="15.75" customHeight="1">
      <c r="A36" s="8">
        <v>35</v>
      </c>
      <c r="B36" s="8" t="s">
        <v>20</v>
      </c>
      <c r="C36" s="1" t="s">
        <v>65</v>
      </c>
      <c r="D36" s="1" t="s">
        <v>66</v>
      </c>
      <c r="E36" s="1" t="s">
        <v>69</v>
      </c>
      <c r="F36" s="1" t="s">
        <v>68</v>
      </c>
      <c r="G36" s="8" t="s">
        <v>0</v>
      </c>
      <c r="H36" s="1">
        <v>30</v>
      </c>
      <c r="I36" s="10">
        <f>detail_avancement!B36</f>
        <v>30</v>
      </c>
      <c r="J36" s="10">
        <f t="shared" si="0"/>
        <v>0</v>
      </c>
      <c r="K36" s="13">
        <f t="shared" si="1"/>
        <v>1</v>
      </c>
      <c r="L36" s="14">
        <f t="shared" si="2"/>
        <v>0</v>
      </c>
    </row>
    <row r="37" spans="1:12" ht="15.75" customHeight="1">
      <c r="A37" s="8">
        <v>36</v>
      </c>
      <c r="B37" s="8" t="s">
        <v>20</v>
      </c>
      <c r="C37" s="1" t="s">
        <v>65</v>
      </c>
      <c r="D37" s="1" t="s">
        <v>66</v>
      </c>
      <c r="E37" s="1" t="s">
        <v>70</v>
      </c>
      <c r="F37" s="1" t="s">
        <v>68</v>
      </c>
      <c r="G37" s="8" t="s">
        <v>0</v>
      </c>
      <c r="H37" s="1">
        <v>30</v>
      </c>
      <c r="I37" s="10">
        <f>detail_avancement!B37</f>
        <v>30</v>
      </c>
      <c r="J37" s="10">
        <f t="shared" si="0"/>
        <v>0</v>
      </c>
      <c r="K37" s="13">
        <f t="shared" si="1"/>
        <v>1</v>
      </c>
      <c r="L37" s="14">
        <f t="shared" si="2"/>
        <v>0</v>
      </c>
    </row>
    <row r="38" spans="1:12" ht="15.75" customHeight="1">
      <c r="A38" s="8">
        <v>37</v>
      </c>
      <c r="B38" s="8" t="s">
        <v>20</v>
      </c>
      <c r="C38" s="1" t="s">
        <v>65</v>
      </c>
      <c r="D38" s="1" t="s">
        <v>66</v>
      </c>
      <c r="E38" s="1" t="s">
        <v>71</v>
      </c>
      <c r="F38" s="1" t="s">
        <v>68</v>
      </c>
      <c r="G38" s="8" t="s">
        <v>0</v>
      </c>
      <c r="H38" s="1">
        <v>45</v>
      </c>
      <c r="I38" s="10">
        <f>detail_avancement!B38</f>
        <v>45</v>
      </c>
      <c r="J38" s="10">
        <f t="shared" si="0"/>
        <v>0</v>
      </c>
      <c r="K38" s="13">
        <f t="shared" si="1"/>
        <v>1</v>
      </c>
      <c r="L38" s="14">
        <f t="shared" si="2"/>
        <v>0</v>
      </c>
    </row>
    <row r="39" spans="1:12" ht="15.75" customHeight="1">
      <c r="A39" s="8">
        <v>38</v>
      </c>
      <c r="B39" s="8" t="s">
        <v>20</v>
      </c>
      <c r="C39" s="1" t="s">
        <v>65</v>
      </c>
      <c r="D39" s="1" t="s">
        <v>66</v>
      </c>
      <c r="E39" s="1" t="s">
        <v>72</v>
      </c>
      <c r="F39" s="1" t="s">
        <v>68</v>
      </c>
      <c r="G39" s="8" t="s">
        <v>0</v>
      </c>
      <c r="H39" s="1">
        <v>30</v>
      </c>
      <c r="I39" s="10">
        <f>detail_avancement!B39</f>
        <v>30</v>
      </c>
      <c r="J39" s="10">
        <f t="shared" si="0"/>
        <v>0</v>
      </c>
      <c r="K39" s="13">
        <f t="shared" si="1"/>
        <v>1</v>
      </c>
      <c r="L39" s="14">
        <f t="shared" si="2"/>
        <v>0</v>
      </c>
    </row>
    <row r="40" spans="1:12" ht="15.75" customHeight="1">
      <c r="A40" s="8">
        <v>39</v>
      </c>
      <c r="B40" s="8" t="s">
        <v>20</v>
      </c>
      <c r="C40" s="1" t="s">
        <v>65</v>
      </c>
      <c r="D40" s="1" t="s">
        <v>66</v>
      </c>
      <c r="E40" s="1" t="s">
        <v>73</v>
      </c>
      <c r="F40" s="1" t="s">
        <v>68</v>
      </c>
      <c r="G40" s="8" t="s">
        <v>0</v>
      </c>
      <c r="H40" s="1">
        <v>45</v>
      </c>
      <c r="I40" s="10">
        <f>detail_avancement!B40</f>
        <v>45</v>
      </c>
      <c r="J40" s="10">
        <f t="shared" si="0"/>
        <v>0</v>
      </c>
      <c r="K40" s="13">
        <f t="shared" si="1"/>
        <v>1</v>
      </c>
      <c r="L40" s="14">
        <f t="shared" si="2"/>
        <v>0</v>
      </c>
    </row>
    <row r="41" spans="1:12" ht="15.75" customHeight="1">
      <c r="A41" s="8">
        <v>40</v>
      </c>
      <c r="B41" s="8" t="s">
        <v>20</v>
      </c>
      <c r="C41" s="1" t="s">
        <v>65</v>
      </c>
      <c r="D41" s="1" t="s">
        <v>66</v>
      </c>
      <c r="E41" s="1" t="s">
        <v>74</v>
      </c>
      <c r="F41" s="1" t="s">
        <v>68</v>
      </c>
      <c r="G41" s="8" t="s">
        <v>0</v>
      </c>
      <c r="H41" s="1">
        <v>60</v>
      </c>
      <c r="I41" s="10">
        <f>detail_avancement!B41</f>
        <v>60</v>
      </c>
      <c r="J41" s="10">
        <f t="shared" si="0"/>
        <v>0</v>
      </c>
      <c r="K41" s="13">
        <f t="shared" si="1"/>
        <v>1</v>
      </c>
      <c r="L41" s="14">
        <f t="shared" si="2"/>
        <v>0</v>
      </c>
    </row>
    <row r="42" spans="1:12" ht="15.75" customHeight="1">
      <c r="A42" s="8">
        <v>41</v>
      </c>
      <c r="B42" s="8" t="s">
        <v>20</v>
      </c>
      <c r="C42" s="1" t="s">
        <v>65</v>
      </c>
      <c r="D42" s="1" t="s">
        <v>66</v>
      </c>
      <c r="E42" s="1" t="s">
        <v>75</v>
      </c>
      <c r="F42" s="1" t="s">
        <v>68</v>
      </c>
      <c r="G42" s="8" t="s">
        <v>0</v>
      </c>
      <c r="H42" s="1">
        <v>30</v>
      </c>
      <c r="I42" s="10">
        <f>detail_avancement!B42</f>
        <v>30</v>
      </c>
      <c r="J42" s="10">
        <f t="shared" si="0"/>
        <v>0</v>
      </c>
      <c r="K42" s="13">
        <f t="shared" si="1"/>
        <v>1</v>
      </c>
      <c r="L42" s="14">
        <f t="shared" si="2"/>
        <v>0</v>
      </c>
    </row>
    <row r="43" spans="1:12" ht="15.75" customHeight="1">
      <c r="A43" s="8">
        <v>42</v>
      </c>
      <c r="B43" s="8" t="s">
        <v>20</v>
      </c>
      <c r="C43" s="1" t="s">
        <v>65</v>
      </c>
      <c r="D43" s="1" t="s">
        <v>66</v>
      </c>
      <c r="E43" s="1" t="s">
        <v>76</v>
      </c>
      <c r="F43" s="1" t="s">
        <v>68</v>
      </c>
      <c r="G43" s="8" t="s">
        <v>0</v>
      </c>
      <c r="H43" s="1">
        <v>45</v>
      </c>
      <c r="I43" s="10">
        <f>detail_avancement!B43</f>
        <v>45</v>
      </c>
      <c r="J43" s="10">
        <f t="shared" si="0"/>
        <v>0</v>
      </c>
      <c r="K43" s="13">
        <f t="shared" si="1"/>
        <v>1</v>
      </c>
      <c r="L43" s="14">
        <f t="shared" si="2"/>
        <v>0</v>
      </c>
    </row>
    <row r="44" spans="1:12" ht="15.75" customHeight="1">
      <c r="A44" s="8">
        <v>43</v>
      </c>
      <c r="B44" s="8" t="s">
        <v>20</v>
      </c>
      <c r="C44" s="1" t="s">
        <v>65</v>
      </c>
      <c r="D44" s="1" t="s">
        <v>66</v>
      </c>
      <c r="E44" s="1" t="s">
        <v>77</v>
      </c>
      <c r="F44" s="1" t="s">
        <v>68</v>
      </c>
      <c r="G44" s="8" t="s">
        <v>0</v>
      </c>
      <c r="H44" s="1">
        <v>45</v>
      </c>
      <c r="I44" s="10">
        <f>detail_avancement!B44</f>
        <v>45</v>
      </c>
      <c r="J44" s="10">
        <f t="shared" si="0"/>
        <v>0</v>
      </c>
      <c r="K44" s="13">
        <f t="shared" si="1"/>
        <v>1</v>
      </c>
      <c r="L44" s="14">
        <f t="shared" si="2"/>
        <v>0</v>
      </c>
    </row>
    <row r="45" spans="1:12" ht="15.75" customHeight="1">
      <c r="A45" s="8">
        <v>44</v>
      </c>
      <c r="B45" s="8" t="s">
        <v>20</v>
      </c>
      <c r="C45" s="1" t="s">
        <v>65</v>
      </c>
      <c r="D45" s="1" t="s">
        <v>66</v>
      </c>
      <c r="E45" s="1" t="s">
        <v>78</v>
      </c>
      <c r="F45" s="1" t="s">
        <v>68</v>
      </c>
      <c r="G45" s="8" t="s">
        <v>0</v>
      </c>
      <c r="H45" s="1">
        <v>45</v>
      </c>
      <c r="I45" s="10">
        <f>detail_avancement!B45</f>
        <v>45</v>
      </c>
      <c r="J45" s="10">
        <f t="shared" si="0"/>
        <v>0</v>
      </c>
      <c r="K45" s="13">
        <f t="shared" si="1"/>
        <v>1</v>
      </c>
      <c r="L45" s="14">
        <f t="shared" si="2"/>
        <v>0</v>
      </c>
    </row>
    <row r="46" spans="1:12" ht="15.75" customHeight="1">
      <c r="A46" s="8">
        <v>45</v>
      </c>
      <c r="B46" s="8" t="s">
        <v>20</v>
      </c>
      <c r="C46" s="1" t="s">
        <v>65</v>
      </c>
      <c r="D46" s="1" t="s">
        <v>66</v>
      </c>
      <c r="E46" s="1" t="s">
        <v>79</v>
      </c>
      <c r="F46" s="1" t="s">
        <v>68</v>
      </c>
      <c r="G46" s="8" t="s">
        <v>0</v>
      </c>
      <c r="H46" s="1">
        <v>45</v>
      </c>
      <c r="I46" s="10">
        <f>detail_avancement!B46</f>
        <v>45</v>
      </c>
      <c r="J46" s="10">
        <f t="shared" si="0"/>
        <v>0</v>
      </c>
      <c r="K46" s="13">
        <f t="shared" si="1"/>
        <v>1</v>
      </c>
      <c r="L46" s="14">
        <f t="shared" si="2"/>
        <v>0</v>
      </c>
    </row>
    <row r="47" spans="1:12" ht="15.75" customHeight="1">
      <c r="A47" s="8">
        <v>46</v>
      </c>
      <c r="B47" s="8" t="s">
        <v>20</v>
      </c>
      <c r="C47" s="1" t="s">
        <v>65</v>
      </c>
      <c r="D47" s="1" t="s">
        <v>66</v>
      </c>
      <c r="E47" s="1" t="s">
        <v>80</v>
      </c>
      <c r="F47" s="1" t="s">
        <v>68</v>
      </c>
      <c r="G47" s="8" t="s">
        <v>0</v>
      </c>
      <c r="H47" s="1">
        <v>15</v>
      </c>
      <c r="I47" s="10">
        <f>detail_avancement!B47</f>
        <v>15</v>
      </c>
      <c r="J47" s="10">
        <f t="shared" si="0"/>
        <v>0</v>
      </c>
      <c r="K47" s="13">
        <f t="shared" si="1"/>
        <v>1</v>
      </c>
      <c r="L47" s="14">
        <f t="shared" si="2"/>
        <v>0</v>
      </c>
    </row>
    <row r="48" spans="1:12" ht="15.75" customHeight="1">
      <c r="A48" s="8">
        <v>47</v>
      </c>
      <c r="B48" s="8" t="s">
        <v>20</v>
      </c>
      <c r="C48" s="1" t="s">
        <v>65</v>
      </c>
      <c r="D48" s="1" t="s">
        <v>66</v>
      </c>
      <c r="E48" s="1" t="s">
        <v>81</v>
      </c>
      <c r="F48" s="1" t="s">
        <v>68</v>
      </c>
      <c r="G48" s="8" t="s">
        <v>0</v>
      </c>
      <c r="H48" s="1">
        <v>60</v>
      </c>
      <c r="I48" s="10">
        <f>detail_avancement!B48</f>
        <v>60</v>
      </c>
      <c r="J48" s="10">
        <f t="shared" si="0"/>
        <v>0</v>
      </c>
      <c r="K48" s="13">
        <f t="shared" si="1"/>
        <v>1</v>
      </c>
      <c r="L48" s="14">
        <f t="shared" si="2"/>
        <v>0</v>
      </c>
    </row>
    <row r="49" spans="1:12" ht="15.75" customHeight="1">
      <c r="A49" s="8">
        <v>48</v>
      </c>
      <c r="B49" s="8" t="s">
        <v>20</v>
      </c>
      <c r="C49" s="1" t="s">
        <v>65</v>
      </c>
      <c r="D49" s="1" t="s">
        <v>66</v>
      </c>
      <c r="E49" s="1" t="s">
        <v>82</v>
      </c>
      <c r="F49" s="1" t="s">
        <v>68</v>
      </c>
      <c r="G49" s="8" t="s">
        <v>0</v>
      </c>
      <c r="H49" s="1">
        <v>15</v>
      </c>
      <c r="I49" s="10">
        <f>detail_avancement!B49</f>
        <v>15</v>
      </c>
      <c r="J49" s="10">
        <f t="shared" si="0"/>
        <v>0</v>
      </c>
      <c r="K49" s="13">
        <f t="shared" si="1"/>
        <v>1</v>
      </c>
      <c r="L49" s="14">
        <f t="shared" si="2"/>
        <v>0</v>
      </c>
    </row>
    <row r="50" spans="1:12" ht="15.75" customHeight="1">
      <c r="A50" s="8">
        <v>49</v>
      </c>
      <c r="B50" s="8" t="s">
        <v>20</v>
      </c>
      <c r="C50" s="1" t="s">
        <v>65</v>
      </c>
      <c r="D50" s="1" t="s">
        <v>66</v>
      </c>
      <c r="E50" s="1" t="s">
        <v>83</v>
      </c>
      <c r="F50" s="1" t="s">
        <v>68</v>
      </c>
      <c r="G50" s="8" t="s">
        <v>0</v>
      </c>
      <c r="H50" s="1">
        <v>30</v>
      </c>
      <c r="I50" s="10">
        <f>detail_avancement!B50</f>
        <v>30</v>
      </c>
      <c r="J50" s="10">
        <f t="shared" si="0"/>
        <v>0</v>
      </c>
      <c r="K50" s="13">
        <f t="shared" si="1"/>
        <v>1</v>
      </c>
      <c r="L50" s="14">
        <f t="shared" si="2"/>
        <v>0</v>
      </c>
    </row>
    <row r="51" spans="1:12" ht="15.75" customHeight="1">
      <c r="A51" s="8">
        <v>50</v>
      </c>
      <c r="B51" s="8" t="s">
        <v>20</v>
      </c>
      <c r="C51" s="1" t="s">
        <v>65</v>
      </c>
      <c r="D51" s="1" t="s">
        <v>66</v>
      </c>
      <c r="E51" s="1" t="s">
        <v>84</v>
      </c>
      <c r="F51" s="1" t="s">
        <v>68</v>
      </c>
      <c r="G51" s="8" t="s">
        <v>0</v>
      </c>
      <c r="H51" s="1">
        <v>60</v>
      </c>
      <c r="I51" s="10">
        <f>detail_avancement!B51</f>
        <v>60</v>
      </c>
      <c r="J51" s="10">
        <f t="shared" si="0"/>
        <v>0</v>
      </c>
      <c r="K51" s="13">
        <f t="shared" si="1"/>
        <v>1</v>
      </c>
      <c r="L51" s="14">
        <f t="shared" si="2"/>
        <v>0</v>
      </c>
    </row>
    <row r="52" spans="1:12" ht="15.75" customHeight="1">
      <c r="A52" s="8">
        <v>51</v>
      </c>
      <c r="B52" s="8" t="s">
        <v>20</v>
      </c>
      <c r="C52" s="1" t="s">
        <v>65</v>
      </c>
      <c r="D52" s="1" t="s">
        <v>66</v>
      </c>
      <c r="E52" s="1" t="s">
        <v>85</v>
      </c>
      <c r="F52" s="1" t="s">
        <v>68</v>
      </c>
      <c r="G52" s="8" t="s">
        <v>0</v>
      </c>
      <c r="H52" s="1">
        <v>45</v>
      </c>
      <c r="I52" s="10">
        <f>detail_avancement!B52</f>
        <v>45</v>
      </c>
      <c r="J52" s="10">
        <f t="shared" si="0"/>
        <v>0</v>
      </c>
      <c r="K52" s="13">
        <f t="shared" si="1"/>
        <v>1</v>
      </c>
      <c r="L52" s="14">
        <f t="shared" si="2"/>
        <v>0</v>
      </c>
    </row>
    <row r="53" spans="1:12" ht="15.75" customHeight="1">
      <c r="A53" s="8">
        <v>52</v>
      </c>
      <c r="B53" s="8" t="s">
        <v>20</v>
      </c>
      <c r="C53" s="1" t="s">
        <v>65</v>
      </c>
      <c r="D53" s="1" t="s">
        <v>66</v>
      </c>
      <c r="E53" s="1" t="s">
        <v>86</v>
      </c>
      <c r="F53" s="1" t="s">
        <v>68</v>
      </c>
      <c r="G53" s="8" t="s">
        <v>0</v>
      </c>
      <c r="H53" s="1">
        <v>45</v>
      </c>
      <c r="I53" s="10">
        <f>detail_avancement!B53</f>
        <v>45</v>
      </c>
      <c r="J53" s="10">
        <f t="shared" si="0"/>
        <v>0</v>
      </c>
      <c r="K53" s="13">
        <f t="shared" si="1"/>
        <v>1</v>
      </c>
      <c r="L53" s="14">
        <f t="shared" si="2"/>
        <v>0</v>
      </c>
    </row>
    <row r="54" spans="1:12" ht="15.75" customHeight="1">
      <c r="A54" s="8">
        <v>53</v>
      </c>
      <c r="B54" s="8" t="s">
        <v>20</v>
      </c>
      <c r="C54" s="1" t="s">
        <v>65</v>
      </c>
      <c r="D54" s="1" t="s">
        <v>66</v>
      </c>
      <c r="E54" s="1" t="s">
        <v>87</v>
      </c>
      <c r="F54" s="1" t="s">
        <v>68</v>
      </c>
      <c r="G54" s="8" t="s">
        <v>0</v>
      </c>
      <c r="H54" s="1">
        <v>30</v>
      </c>
      <c r="I54" s="10">
        <f>detail_avancement!B54</f>
        <v>30</v>
      </c>
      <c r="J54" s="10">
        <f t="shared" si="0"/>
        <v>0</v>
      </c>
      <c r="K54" s="13">
        <f t="shared" si="1"/>
        <v>1</v>
      </c>
      <c r="L54" s="14">
        <f t="shared" si="2"/>
        <v>0</v>
      </c>
    </row>
    <row r="55" spans="1:12" ht="15.75" customHeight="1">
      <c r="A55" s="8">
        <v>54</v>
      </c>
      <c r="B55" s="8" t="s">
        <v>20</v>
      </c>
      <c r="C55" s="1" t="s">
        <v>65</v>
      </c>
      <c r="D55" s="1" t="s">
        <v>66</v>
      </c>
      <c r="E55" s="1" t="s">
        <v>88</v>
      </c>
      <c r="F55" s="1" t="s">
        <v>68</v>
      </c>
      <c r="G55" s="8" t="s">
        <v>0</v>
      </c>
      <c r="H55" s="1">
        <v>30</v>
      </c>
      <c r="I55" s="10">
        <f>detail_avancement!B55</f>
        <v>30</v>
      </c>
      <c r="J55" s="10">
        <f t="shared" si="0"/>
        <v>0</v>
      </c>
      <c r="K55" s="13">
        <f t="shared" si="1"/>
        <v>1</v>
      </c>
      <c r="L55" s="14">
        <f t="shared" si="2"/>
        <v>0</v>
      </c>
    </row>
    <row r="56" spans="1:12" ht="15.75" customHeight="1">
      <c r="A56" s="8">
        <v>55</v>
      </c>
      <c r="B56" s="8" t="s">
        <v>20</v>
      </c>
      <c r="C56" s="1" t="s">
        <v>65</v>
      </c>
      <c r="D56" s="1" t="s">
        <v>66</v>
      </c>
      <c r="E56" s="1" t="s">
        <v>89</v>
      </c>
      <c r="F56" s="1" t="s">
        <v>68</v>
      </c>
      <c r="G56" s="8" t="s">
        <v>0</v>
      </c>
      <c r="H56" s="1">
        <v>45</v>
      </c>
      <c r="I56" s="10">
        <f>detail_avancement!B56</f>
        <v>45</v>
      </c>
      <c r="J56" s="10">
        <f t="shared" si="0"/>
        <v>0</v>
      </c>
      <c r="K56" s="13">
        <f t="shared" si="1"/>
        <v>1</v>
      </c>
      <c r="L56" s="14">
        <f t="shared" si="2"/>
        <v>0</v>
      </c>
    </row>
    <row r="57" spans="1:12" ht="15.75" customHeight="1">
      <c r="A57" s="8">
        <v>56</v>
      </c>
      <c r="B57" s="8" t="s">
        <v>20</v>
      </c>
      <c r="C57" s="1" t="s">
        <v>65</v>
      </c>
      <c r="D57" s="1" t="s">
        <v>66</v>
      </c>
      <c r="E57" s="1" t="s">
        <v>90</v>
      </c>
      <c r="F57" s="1" t="s">
        <v>68</v>
      </c>
      <c r="G57" s="8" t="s">
        <v>0</v>
      </c>
      <c r="H57" s="1">
        <v>30</v>
      </c>
      <c r="I57" s="10">
        <f>detail_avancement!B57</f>
        <v>30</v>
      </c>
      <c r="J57" s="10">
        <f t="shared" si="0"/>
        <v>0</v>
      </c>
      <c r="K57" s="13">
        <f t="shared" si="1"/>
        <v>1</v>
      </c>
      <c r="L57" s="14">
        <f t="shared" si="2"/>
        <v>0</v>
      </c>
    </row>
    <row r="58" spans="1:12" ht="15.75" customHeight="1">
      <c r="A58" s="8">
        <v>57</v>
      </c>
      <c r="B58" s="8" t="s">
        <v>20</v>
      </c>
      <c r="C58" s="1" t="s">
        <v>65</v>
      </c>
      <c r="D58" s="1" t="s">
        <v>66</v>
      </c>
      <c r="E58" s="1" t="s">
        <v>91</v>
      </c>
      <c r="F58" s="1" t="s">
        <v>68</v>
      </c>
      <c r="G58" s="8" t="s">
        <v>0</v>
      </c>
      <c r="H58" s="1">
        <v>30</v>
      </c>
      <c r="I58" s="10">
        <f>detail_avancement!B58</f>
        <v>0</v>
      </c>
      <c r="J58" s="10">
        <f t="shared" si="0"/>
        <v>30</v>
      </c>
      <c r="K58" s="13">
        <f t="shared" si="1"/>
        <v>0</v>
      </c>
      <c r="L58" s="14">
        <f t="shared" si="2"/>
        <v>0</v>
      </c>
    </row>
    <row r="59" spans="1:12" ht="15.75" customHeight="1">
      <c r="A59" s="8">
        <v>58</v>
      </c>
      <c r="B59" s="8" t="s">
        <v>20</v>
      </c>
      <c r="C59" s="1" t="s">
        <v>65</v>
      </c>
      <c r="D59" s="1" t="s">
        <v>66</v>
      </c>
      <c r="E59" s="1" t="s">
        <v>92</v>
      </c>
      <c r="F59" s="1" t="s">
        <v>68</v>
      </c>
      <c r="G59" s="8" t="s">
        <v>0</v>
      </c>
      <c r="H59" s="1">
        <v>30</v>
      </c>
      <c r="I59" s="10">
        <f>detail_avancement!B59</f>
        <v>30</v>
      </c>
      <c r="J59" s="10">
        <f t="shared" si="0"/>
        <v>0</v>
      </c>
      <c r="K59" s="13">
        <f t="shared" si="1"/>
        <v>1</v>
      </c>
      <c r="L59" s="14">
        <f t="shared" si="2"/>
        <v>0</v>
      </c>
    </row>
    <row r="60" spans="1:12" ht="15.75" customHeight="1">
      <c r="A60" s="8">
        <v>59</v>
      </c>
      <c r="B60" s="8" t="s">
        <v>20</v>
      </c>
      <c r="C60" s="1" t="s">
        <v>65</v>
      </c>
      <c r="D60" s="1" t="s">
        <v>66</v>
      </c>
      <c r="E60" s="1" t="s">
        <v>93</v>
      </c>
      <c r="F60" s="1" t="s">
        <v>68</v>
      </c>
      <c r="G60" s="8" t="s">
        <v>0</v>
      </c>
      <c r="H60" s="1">
        <v>30</v>
      </c>
      <c r="I60" s="10">
        <f>detail_avancement!B60</f>
        <v>30</v>
      </c>
      <c r="J60" s="10">
        <f t="shared" si="0"/>
        <v>0</v>
      </c>
      <c r="K60" s="13">
        <f t="shared" si="1"/>
        <v>1</v>
      </c>
      <c r="L60" s="14">
        <f t="shared" si="2"/>
        <v>0</v>
      </c>
    </row>
    <row r="61" spans="1:12" ht="15.75" customHeight="1">
      <c r="A61" s="8">
        <v>60</v>
      </c>
      <c r="B61" s="8" t="s">
        <v>20</v>
      </c>
      <c r="C61" s="1" t="s">
        <v>65</v>
      </c>
      <c r="D61" s="1" t="s">
        <v>66</v>
      </c>
      <c r="E61" s="1" t="s">
        <v>94</v>
      </c>
      <c r="F61" s="1" t="s">
        <v>68</v>
      </c>
      <c r="G61" s="8" t="s">
        <v>0</v>
      </c>
      <c r="H61" s="1">
        <v>30</v>
      </c>
      <c r="I61" s="10">
        <f>detail_avancement!B61</f>
        <v>30</v>
      </c>
      <c r="J61" s="10">
        <f t="shared" si="0"/>
        <v>0</v>
      </c>
      <c r="K61" s="13">
        <f t="shared" si="1"/>
        <v>1</v>
      </c>
      <c r="L61" s="14">
        <f t="shared" si="2"/>
        <v>0</v>
      </c>
    </row>
    <row r="62" spans="1:12" ht="15.75" customHeight="1">
      <c r="A62" s="8">
        <v>61</v>
      </c>
      <c r="B62" s="8" t="s">
        <v>20</v>
      </c>
      <c r="C62" s="1" t="s">
        <v>65</v>
      </c>
      <c r="D62" s="1" t="s">
        <v>66</v>
      </c>
      <c r="E62" s="1" t="s">
        <v>95</v>
      </c>
      <c r="F62" s="1" t="s">
        <v>68</v>
      </c>
      <c r="G62" s="8" t="s">
        <v>0</v>
      </c>
      <c r="H62" s="1">
        <v>30</v>
      </c>
      <c r="I62" s="10">
        <f>detail_avancement!B62</f>
        <v>30</v>
      </c>
      <c r="J62" s="10">
        <f t="shared" si="0"/>
        <v>0</v>
      </c>
      <c r="K62" s="13">
        <f t="shared" si="1"/>
        <v>1</v>
      </c>
      <c r="L62" s="14">
        <f t="shared" si="2"/>
        <v>0</v>
      </c>
    </row>
    <row r="63" spans="1:12" ht="15.75" customHeight="1">
      <c r="A63" s="8">
        <v>62</v>
      </c>
      <c r="B63" s="8" t="s">
        <v>20</v>
      </c>
      <c r="C63" s="1" t="s">
        <v>65</v>
      </c>
      <c r="D63" s="1" t="s">
        <v>66</v>
      </c>
      <c r="E63" s="1" t="s">
        <v>96</v>
      </c>
      <c r="F63" s="1" t="s">
        <v>68</v>
      </c>
      <c r="G63" s="8" t="s">
        <v>0</v>
      </c>
      <c r="H63" s="1">
        <v>30</v>
      </c>
      <c r="I63" s="10">
        <f>detail_avancement!B63</f>
        <v>30</v>
      </c>
      <c r="J63" s="10">
        <f t="shared" si="0"/>
        <v>0</v>
      </c>
      <c r="K63" s="13">
        <f t="shared" si="1"/>
        <v>1</v>
      </c>
      <c r="L63" s="14">
        <f t="shared" si="2"/>
        <v>0</v>
      </c>
    </row>
    <row r="64" spans="1:12" ht="15.75" customHeight="1">
      <c r="A64" s="8">
        <v>63</v>
      </c>
      <c r="B64" s="8" t="s">
        <v>20</v>
      </c>
      <c r="C64" s="1" t="s">
        <v>65</v>
      </c>
      <c r="D64" s="1" t="s">
        <v>66</v>
      </c>
      <c r="E64" s="1" t="s">
        <v>97</v>
      </c>
      <c r="F64" s="1" t="s">
        <v>68</v>
      </c>
      <c r="G64" s="8" t="s">
        <v>0</v>
      </c>
      <c r="H64" s="1">
        <v>60</v>
      </c>
      <c r="I64" s="10">
        <f>detail_avancement!B64</f>
        <v>60</v>
      </c>
      <c r="J64" s="10">
        <f t="shared" si="0"/>
        <v>0</v>
      </c>
      <c r="K64" s="13">
        <f t="shared" si="1"/>
        <v>1</v>
      </c>
      <c r="L64" s="14">
        <f t="shared" si="2"/>
        <v>0</v>
      </c>
    </row>
    <row r="65" spans="1:12" ht="15.75" customHeight="1">
      <c r="A65" s="8">
        <v>64</v>
      </c>
      <c r="B65" s="8" t="s">
        <v>20</v>
      </c>
      <c r="C65" s="1" t="s">
        <v>65</v>
      </c>
      <c r="D65" s="1" t="s">
        <v>66</v>
      </c>
      <c r="E65" s="1" t="s">
        <v>98</v>
      </c>
      <c r="F65" s="1" t="s">
        <v>68</v>
      </c>
      <c r="G65" s="8" t="s">
        <v>0</v>
      </c>
      <c r="H65" s="1">
        <v>60</v>
      </c>
      <c r="I65" s="10">
        <f>detail_avancement!B65</f>
        <v>60</v>
      </c>
      <c r="J65" s="10">
        <f t="shared" si="0"/>
        <v>0</v>
      </c>
      <c r="K65" s="13">
        <f t="shared" si="1"/>
        <v>1</v>
      </c>
      <c r="L65" s="14">
        <f t="shared" si="2"/>
        <v>0</v>
      </c>
    </row>
    <row r="66" spans="1:12" ht="15.75" customHeight="1">
      <c r="A66" s="8">
        <v>65</v>
      </c>
      <c r="B66" s="8" t="s">
        <v>20</v>
      </c>
      <c r="C66" s="1" t="s">
        <v>65</v>
      </c>
      <c r="D66" s="1" t="s">
        <v>99</v>
      </c>
      <c r="E66" s="1" t="s">
        <v>100</v>
      </c>
      <c r="F66" s="1" t="s">
        <v>68</v>
      </c>
      <c r="G66" s="8" t="s">
        <v>0</v>
      </c>
      <c r="H66" s="1">
        <v>30</v>
      </c>
      <c r="I66" s="10">
        <f>detail_avancement!B66</f>
        <v>30</v>
      </c>
      <c r="J66" s="10">
        <f t="shared" si="0"/>
        <v>0</v>
      </c>
      <c r="K66" s="13">
        <f t="shared" si="1"/>
        <v>1</v>
      </c>
      <c r="L66" s="14">
        <f t="shared" si="2"/>
        <v>0</v>
      </c>
    </row>
    <row r="67" spans="1:12" ht="15.75" customHeight="1">
      <c r="A67" s="8">
        <v>66</v>
      </c>
      <c r="B67" s="8" t="s">
        <v>20</v>
      </c>
      <c r="C67" s="1" t="s">
        <v>65</v>
      </c>
      <c r="D67" s="1" t="s">
        <v>99</v>
      </c>
      <c r="E67" s="1" t="s">
        <v>101</v>
      </c>
      <c r="F67" s="1" t="s">
        <v>68</v>
      </c>
      <c r="G67" s="8" t="s">
        <v>0</v>
      </c>
      <c r="H67" s="1">
        <v>30</v>
      </c>
      <c r="I67" s="10">
        <f>detail_avancement!B67</f>
        <v>30</v>
      </c>
      <c r="J67" s="10">
        <f t="shared" si="0"/>
        <v>0</v>
      </c>
      <c r="K67" s="13">
        <f t="shared" si="1"/>
        <v>1</v>
      </c>
      <c r="L67" s="14">
        <f t="shared" si="2"/>
        <v>0</v>
      </c>
    </row>
    <row r="68" spans="1:12" ht="15.75" customHeight="1">
      <c r="A68" s="8">
        <v>67</v>
      </c>
      <c r="B68" s="8" t="s">
        <v>20</v>
      </c>
      <c r="C68" s="1" t="s">
        <v>65</v>
      </c>
      <c r="D68" s="1" t="s">
        <v>99</v>
      </c>
      <c r="E68" s="1" t="s">
        <v>102</v>
      </c>
      <c r="F68" s="1" t="s">
        <v>68</v>
      </c>
      <c r="G68" s="8" t="s">
        <v>0</v>
      </c>
      <c r="H68" s="1">
        <v>30</v>
      </c>
      <c r="I68" s="10">
        <f>detail_avancement!B68</f>
        <v>30</v>
      </c>
      <c r="J68" s="10">
        <f t="shared" si="0"/>
        <v>0</v>
      </c>
      <c r="K68" s="13">
        <f t="shared" si="1"/>
        <v>1</v>
      </c>
      <c r="L68" s="14">
        <f t="shared" si="2"/>
        <v>0</v>
      </c>
    </row>
    <row r="69" spans="1:12" ht="15.75" customHeight="1">
      <c r="A69" s="8">
        <v>68</v>
      </c>
      <c r="B69" s="8" t="s">
        <v>20</v>
      </c>
      <c r="C69" s="1" t="s">
        <v>65</v>
      </c>
      <c r="D69" s="1" t="s">
        <v>99</v>
      </c>
      <c r="E69" s="1" t="s">
        <v>103</v>
      </c>
      <c r="F69" s="1" t="s">
        <v>68</v>
      </c>
      <c r="G69" s="8" t="s">
        <v>0</v>
      </c>
      <c r="H69" s="1">
        <v>30</v>
      </c>
      <c r="I69" s="10">
        <f>detail_avancement!B69</f>
        <v>30</v>
      </c>
      <c r="J69" s="10">
        <f t="shared" si="0"/>
        <v>0</v>
      </c>
      <c r="K69" s="13">
        <f t="shared" si="1"/>
        <v>1</v>
      </c>
      <c r="L69" s="14">
        <f t="shared" si="2"/>
        <v>0</v>
      </c>
    </row>
    <row r="70" spans="1:12" ht="15.75" customHeight="1">
      <c r="A70" s="8">
        <v>69</v>
      </c>
      <c r="B70" s="8" t="s">
        <v>20</v>
      </c>
      <c r="C70" s="1" t="s">
        <v>65</v>
      </c>
      <c r="D70" s="1" t="s">
        <v>104</v>
      </c>
      <c r="E70" s="1" t="s">
        <v>105</v>
      </c>
      <c r="F70" s="1" t="s">
        <v>106</v>
      </c>
      <c r="G70" s="8" t="s">
        <v>0</v>
      </c>
      <c r="H70" s="1">
        <v>15</v>
      </c>
      <c r="I70" s="10">
        <f>detail_avancement!B70</f>
        <v>0</v>
      </c>
      <c r="J70" s="10">
        <f t="shared" si="0"/>
        <v>15</v>
      </c>
      <c r="K70" s="13">
        <f t="shared" si="1"/>
        <v>0</v>
      </c>
      <c r="L70" s="14">
        <f t="shared" si="2"/>
        <v>0</v>
      </c>
    </row>
    <row r="71" spans="1:12" ht="15.75" customHeight="1">
      <c r="A71" s="8">
        <v>70</v>
      </c>
      <c r="B71" s="8" t="s">
        <v>20</v>
      </c>
      <c r="C71" s="1" t="s">
        <v>65</v>
      </c>
      <c r="D71" s="1" t="s">
        <v>104</v>
      </c>
      <c r="E71" s="1" t="s">
        <v>107</v>
      </c>
      <c r="F71" s="1" t="s">
        <v>106</v>
      </c>
      <c r="G71" s="8" t="s">
        <v>0</v>
      </c>
      <c r="H71" s="1">
        <v>15</v>
      </c>
      <c r="I71" s="10">
        <f>detail_avancement!B71</f>
        <v>15</v>
      </c>
      <c r="J71" s="10">
        <f t="shared" si="0"/>
        <v>0</v>
      </c>
      <c r="K71" s="13">
        <f t="shared" si="1"/>
        <v>1</v>
      </c>
      <c r="L71" s="14">
        <f t="shared" si="2"/>
        <v>0</v>
      </c>
    </row>
    <row r="72" spans="1:12" ht="15.75" customHeight="1">
      <c r="A72" s="8">
        <v>71</v>
      </c>
      <c r="B72" s="8" t="s">
        <v>20</v>
      </c>
      <c r="C72" s="1" t="s">
        <v>65</v>
      </c>
      <c r="D72" s="1" t="s">
        <v>104</v>
      </c>
      <c r="E72" s="1" t="s">
        <v>108</v>
      </c>
      <c r="F72" s="1" t="s">
        <v>106</v>
      </c>
      <c r="G72" s="8" t="s">
        <v>0</v>
      </c>
      <c r="H72" s="1">
        <v>30</v>
      </c>
      <c r="I72" s="10">
        <f>detail_avancement!B72</f>
        <v>15</v>
      </c>
      <c r="J72" s="10">
        <f t="shared" si="0"/>
        <v>15</v>
      </c>
      <c r="K72" s="13">
        <f t="shared" si="1"/>
        <v>0.5</v>
      </c>
      <c r="L72" s="14">
        <f t="shared" si="2"/>
        <v>0</v>
      </c>
    </row>
    <row r="73" spans="1:12" ht="15.75" customHeight="1">
      <c r="A73" s="8">
        <v>72</v>
      </c>
      <c r="B73" s="8" t="s">
        <v>20</v>
      </c>
      <c r="C73" s="1" t="s">
        <v>65</v>
      </c>
      <c r="D73" s="1" t="s">
        <v>104</v>
      </c>
      <c r="E73" s="1" t="s">
        <v>109</v>
      </c>
      <c r="F73" s="1" t="s">
        <v>106</v>
      </c>
      <c r="G73" s="8" t="s">
        <v>0</v>
      </c>
      <c r="H73" s="1">
        <v>30</v>
      </c>
      <c r="I73" s="10">
        <f>detail_avancement!B73</f>
        <v>30</v>
      </c>
      <c r="J73" s="10">
        <f t="shared" si="0"/>
        <v>0</v>
      </c>
      <c r="K73" s="13">
        <f t="shared" si="1"/>
        <v>1</v>
      </c>
      <c r="L73" s="14">
        <f t="shared" si="2"/>
        <v>0</v>
      </c>
    </row>
    <row r="74" spans="1:12" ht="15.75" customHeight="1">
      <c r="A74" s="8">
        <v>73</v>
      </c>
      <c r="B74" s="8" t="s">
        <v>20</v>
      </c>
      <c r="C74" s="1" t="s">
        <v>65</v>
      </c>
      <c r="D74" s="1" t="s">
        <v>104</v>
      </c>
      <c r="E74" s="1" t="s">
        <v>110</v>
      </c>
      <c r="F74" s="1" t="s">
        <v>106</v>
      </c>
      <c r="G74" s="8" t="s">
        <v>0</v>
      </c>
      <c r="H74" s="1">
        <v>15</v>
      </c>
      <c r="I74" s="10">
        <f>detail_avancement!B74</f>
        <v>30</v>
      </c>
      <c r="J74" s="10">
        <f t="shared" si="0"/>
        <v>0</v>
      </c>
      <c r="K74" s="13">
        <f t="shared" si="1"/>
        <v>1</v>
      </c>
      <c r="L74" s="14">
        <f t="shared" si="2"/>
        <v>15</v>
      </c>
    </row>
    <row r="75" spans="1:12" ht="15.75" customHeight="1">
      <c r="A75" s="8">
        <v>74</v>
      </c>
      <c r="B75" s="8" t="s">
        <v>20</v>
      </c>
      <c r="C75" s="1" t="s">
        <v>65</v>
      </c>
      <c r="D75" s="1" t="s">
        <v>104</v>
      </c>
      <c r="E75" s="1" t="s">
        <v>111</v>
      </c>
      <c r="F75" s="1" t="s">
        <v>106</v>
      </c>
      <c r="G75" s="8" t="s">
        <v>0</v>
      </c>
      <c r="H75" s="1">
        <v>15</v>
      </c>
      <c r="I75" s="10">
        <f>detail_avancement!B75</f>
        <v>15</v>
      </c>
      <c r="J75" s="10">
        <f t="shared" si="0"/>
        <v>0</v>
      </c>
      <c r="K75" s="13">
        <f t="shared" si="1"/>
        <v>1</v>
      </c>
      <c r="L75" s="14">
        <f t="shared" si="2"/>
        <v>0</v>
      </c>
    </row>
    <row r="76" spans="1:12" ht="15.75" customHeight="1">
      <c r="A76" s="8">
        <v>75</v>
      </c>
      <c r="B76" s="8" t="s">
        <v>20</v>
      </c>
      <c r="C76" s="1" t="s">
        <v>112</v>
      </c>
      <c r="D76" s="1" t="s">
        <v>113</v>
      </c>
      <c r="E76" s="1" t="s">
        <v>114</v>
      </c>
      <c r="F76" s="1" t="s">
        <v>68</v>
      </c>
      <c r="G76" s="8" t="s">
        <v>0</v>
      </c>
      <c r="H76" s="1">
        <v>30</v>
      </c>
      <c r="I76" s="10">
        <f>detail_avancement!B76</f>
        <v>15</v>
      </c>
      <c r="J76" s="10">
        <f t="shared" si="0"/>
        <v>15</v>
      </c>
      <c r="K76" s="13">
        <f t="shared" si="1"/>
        <v>0.5</v>
      </c>
      <c r="L76" s="14">
        <f t="shared" si="2"/>
        <v>0</v>
      </c>
    </row>
    <row r="77" spans="1:12" ht="15.75" customHeight="1">
      <c r="A77" s="8">
        <v>76</v>
      </c>
      <c r="B77" s="8" t="s">
        <v>20</v>
      </c>
      <c r="C77" s="1" t="s">
        <v>112</v>
      </c>
      <c r="D77" s="1" t="s">
        <v>113</v>
      </c>
      <c r="E77" s="1" t="s">
        <v>115</v>
      </c>
      <c r="F77" s="1" t="s">
        <v>68</v>
      </c>
      <c r="G77" s="8" t="s">
        <v>0</v>
      </c>
      <c r="H77" s="1">
        <v>60</v>
      </c>
      <c r="I77" s="10">
        <f>detail_avancement!B77</f>
        <v>30</v>
      </c>
      <c r="J77" s="10">
        <f t="shared" si="0"/>
        <v>30</v>
      </c>
      <c r="K77" s="13">
        <f t="shared" si="1"/>
        <v>0.5</v>
      </c>
      <c r="L77" s="14">
        <f t="shared" si="2"/>
        <v>0</v>
      </c>
    </row>
    <row r="78" spans="1:12" ht="15.75" customHeight="1">
      <c r="A78" s="8">
        <v>77</v>
      </c>
      <c r="B78" s="8" t="s">
        <v>20</v>
      </c>
      <c r="C78" s="1" t="s">
        <v>112</v>
      </c>
      <c r="D78" s="1" t="s">
        <v>113</v>
      </c>
      <c r="E78" s="1" t="s">
        <v>116</v>
      </c>
      <c r="F78" s="1" t="s">
        <v>68</v>
      </c>
      <c r="G78" s="8" t="s">
        <v>0</v>
      </c>
      <c r="H78" s="1">
        <v>45</v>
      </c>
      <c r="I78" s="10">
        <f>detail_avancement!B78</f>
        <v>60</v>
      </c>
      <c r="J78" s="10">
        <f t="shared" si="0"/>
        <v>0</v>
      </c>
      <c r="K78" s="13">
        <f t="shared" si="1"/>
        <v>1</v>
      </c>
      <c r="L78" s="14">
        <f t="shared" si="2"/>
        <v>15</v>
      </c>
    </row>
    <row r="79" spans="1:12" ht="15.75" customHeight="1">
      <c r="A79" s="8">
        <v>78</v>
      </c>
      <c r="B79" s="8" t="s">
        <v>20</v>
      </c>
      <c r="C79" s="1" t="s">
        <v>112</v>
      </c>
      <c r="D79" s="1" t="s">
        <v>113</v>
      </c>
      <c r="E79" s="1" t="s">
        <v>117</v>
      </c>
      <c r="F79" s="1" t="s">
        <v>68</v>
      </c>
      <c r="G79" s="8" t="s">
        <v>0</v>
      </c>
      <c r="H79" s="1">
        <v>30</v>
      </c>
      <c r="I79" s="10">
        <f>detail_avancement!B79</f>
        <v>45</v>
      </c>
      <c r="J79" s="10">
        <f t="shared" si="0"/>
        <v>0</v>
      </c>
      <c r="K79" s="13">
        <f t="shared" si="1"/>
        <v>1</v>
      </c>
      <c r="L79" s="14">
        <f t="shared" si="2"/>
        <v>15</v>
      </c>
    </row>
    <row r="80" spans="1:12" ht="15.75" customHeight="1">
      <c r="A80" s="8">
        <v>79</v>
      </c>
      <c r="B80" s="8" t="s">
        <v>20</v>
      </c>
      <c r="C80" s="1" t="s">
        <v>112</v>
      </c>
      <c r="D80" s="1" t="s">
        <v>113</v>
      </c>
      <c r="E80" s="1" t="s">
        <v>118</v>
      </c>
      <c r="F80" s="1" t="s">
        <v>68</v>
      </c>
      <c r="G80" s="8" t="s">
        <v>0</v>
      </c>
      <c r="H80" s="1">
        <v>30</v>
      </c>
      <c r="I80" s="10">
        <f>detail_avancement!B80</f>
        <v>30</v>
      </c>
      <c r="J80" s="10">
        <f t="shared" si="0"/>
        <v>0</v>
      </c>
      <c r="K80" s="13">
        <f t="shared" si="1"/>
        <v>1</v>
      </c>
      <c r="L80" s="14">
        <f t="shared" si="2"/>
        <v>0</v>
      </c>
    </row>
    <row r="81" spans="1:12" ht="15.75" customHeight="1">
      <c r="A81" s="8">
        <v>80</v>
      </c>
      <c r="B81" s="8" t="s">
        <v>20</v>
      </c>
      <c r="C81" s="1" t="s">
        <v>112</v>
      </c>
      <c r="D81" s="1" t="s">
        <v>113</v>
      </c>
      <c r="E81" s="1" t="s">
        <v>119</v>
      </c>
      <c r="F81" s="1" t="s">
        <v>68</v>
      </c>
      <c r="G81" s="8" t="s">
        <v>0</v>
      </c>
      <c r="H81" s="1">
        <v>45</v>
      </c>
      <c r="I81" s="10">
        <f>detail_avancement!B81</f>
        <v>30</v>
      </c>
      <c r="J81" s="10">
        <f t="shared" si="0"/>
        <v>15</v>
      </c>
      <c r="K81" s="13">
        <f t="shared" si="1"/>
        <v>0.66666666666666663</v>
      </c>
      <c r="L81" s="14">
        <f t="shared" si="2"/>
        <v>0</v>
      </c>
    </row>
    <row r="82" spans="1:12" ht="15.75" customHeight="1">
      <c r="A82" s="8">
        <v>81</v>
      </c>
      <c r="B82" s="8" t="s">
        <v>20</v>
      </c>
      <c r="C82" s="1" t="s">
        <v>112</v>
      </c>
      <c r="D82" s="1" t="s">
        <v>113</v>
      </c>
      <c r="E82" s="1" t="s">
        <v>120</v>
      </c>
      <c r="F82" s="1" t="s">
        <v>68</v>
      </c>
      <c r="G82" s="8" t="s">
        <v>0</v>
      </c>
      <c r="H82" s="1">
        <v>45</v>
      </c>
      <c r="I82" s="10">
        <f>detail_avancement!B82</f>
        <v>45</v>
      </c>
      <c r="J82" s="10">
        <f t="shared" si="0"/>
        <v>0</v>
      </c>
      <c r="K82" s="13">
        <f t="shared" si="1"/>
        <v>1</v>
      </c>
      <c r="L82" s="14">
        <f t="shared" si="2"/>
        <v>0</v>
      </c>
    </row>
    <row r="83" spans="1:12" ht="15.75" customHeight="1">
      <c r="A83" s="8">
        <v>82</v>
      </c>
      <c r="B83" s="8" t="s">
        <v>20</v>
      </c>
      <c r="C83" s="1" t="s">
        <v>112</v>
      </c>
      <c r="D83" s="1" t="s">
        <v>113</v>
      </c>
      <c r="E83" s="1" t="s">
        <v>121</v>
      </c>
      <c r="F83" s="1" t="s">
        <v>68</v>
      </c>
      <c r="G83" s="8" t="s">
        <v>0</v>
      </c>
      <c r="H83" s="1">
        <v>45</v>
      </c>
      <c r="I83" s="10">
        <f>detail_avancement!B83</f>
        <v>45</v>
      </c>
      <c r="J83" s="10">
        <f t="shared" si="0"/>
        <v>0</v>
      </c>
      <c r="K83" s="13">
        <f t="shared" si="1"/>
        <v>1</v>
      </c>
      <c r="L83" s="14">
        <f t="shared" si="2"/>
        <v>0</v>
      </c>
    </row>
    <row r="84" spans="1:12" ht="15.75" customHeight="1">
      <c r="A84" s="8">
        <v>83</v>
      </c>
      <c r="B84" s="8" t="s">
        <v>20</v>
      </c>
      <c r="C84" s="1" t="s">
        <v>112</v>
      </c>
      <c r="D84" s="1" t="s">
        <v>113</v>
      </c>
      <c r="E84" s="1" t="s">
        <v>122</v>
      </c>
      <c r="F84" s="1" t="s">
        <v>68</v>
      </c>
      <c r="G84" s="8" t="s">
        <v>0</v>
      </c>
      <c r="H84" s="1">
        <v>30</v>
      </c>
      <c r="I84" s="10">
        <f>detail_avancement!B84</f>
        <v>45</v>
      </c>
      <c r="J84" s="10">
        <f t="shared" si="0"/>
        <v>0</v>
      </c>
      <c r="K84" s="13">
        <f t="shared" si="1"/>
        <v>1</v>
      </c>
      <c r="L84" s="14">
        <f t="shared" si="2"/>
        <v>15</v>
      </c>
    </row>
    <row r="85" spans="1:12" ht="15.75" customHeight="1">
      <c r="A85" s="8">
        <v>84</v>
      </c>
      <c r="B85" s="8" t="s">
        <v>20</v>
      </c>
      <c r="C85" s="1" t="s">
        <v>112</v>
      </c>
      <c r="D85" s="1" t="s">
        <v>113</v>
      </c>
      <c r="E85" s="1" t="s">
        <v>123</v>
      </c>
      <c r="F85" s="1" t="s">
        <v>68</v>
      </c>
      <c r="G85" s="8" t="s">
        <v>0</v>
      </c>
      <c r="H85" s="1">
        <v>30</v>
      </c>
      <c r="I85" s="10">
        <f>detail_avancement!B85</f>
        <v>30</v>
      </c>
      <c r="J85" s="10">
        <f t="shared" si="0"/>
        <v>0</v>
      </c>
      <c r="K85" s="13">
        <f t="shared" si="1"/>
        <v>1</v>
      </c>
      <c r="L85" s="14">
        <f t="shared" si="2"/>
        <v>0</v>
      </c>
    </row>
    <row r="86" spans="1:12" ht="15.75" customHeight="1">
      <c r="A86" s="8">
        <v>85</v>
      </c>
      <c r="B86" s="8" t="s">
        <v>20</v>
      </c>
      <c r="C86" s="1" t="s">
        <v>112</v>
      </c>
      <c r="D86" s="1" t="s">
        <v>113</v>
      </c>
      <c r="E86" s="1" t="s">
        <v>124</v>
      </c>
      <c r="F86" s="1" t="s">
        <v>68</v>
      </c>
      <c r="G86" s="8" t="s">
        <v>0</v>
      </c>
      <c r="H86" s="1">
        <v>60</v>
      </c>
      <c r="I86" s="10">
        <f>detail_avancement!B86</f>
        <v>30</v>
      </c>
      <c r="J86" s="10">
        <f t="shared" si="0"/>
        <v>30</v>
      </c>
      <c r="K86" s="13">
        <f t="shared" si="1"/>
        <v>0.5</v>
      </c>
      <c r="L86" s="14">
        <f t="shared" si="2"/>
        <v>0</v>
      </c>
    </row>
    <row r="87" spans="1:12" ht="15.75" customHeight="1">
      <c r="A87" s="8">
        <v>86</v>
      </c>
      <c r="B87" s="8" t="s">
        <v>20</v>
      </c>
      <c r="C87" s="1" t="s">
        <v>112</v>
      </c>
      <c r="D87" s="1" t="s">
        <v>113</v>
      </c>
      <c r="E87" s="1" t="s">
        <v>125</v>
      </c>
      <c r="F87" s="1" t="s">
        <v>68</v>
      </c>
      <c r="G87" s="8" t="s">
        <v>0</v>
      </c>
      <c r="H87" s="1">
        <v>30</v>
      </c>
      <c r="I87" s="10">
        <f>detail_avancement!B87</f>
        <v>60</v>
      </c>
      <c r="J87" s="10">
        <f t="shared" si="0"/>
        <v>0</v>
      </c>
      <c r="K87" s="13">
        <f t="shared" si="1"/>
        <v>1</v>
      </c>
      <c r="L87" s="14">
        <f t="shared" si="2"/>
        <v>30</v>
      </c>
    </row>
    <row r="88" spans="1:12" ht="15.75" customHeight="1">
      <c r="A88" s="8">
        <v>87</v>
      </c>
      <c r="B88" s="8" t="s">
        <v>20</v>
      </c>
      <c r="C88" s="1" t="s">
        <v>112</v>
      </c>
      <c r="D88" s="1" t="s">
        <v>113</v>
      </c>
      <c r="E88" s="1" t="s">
        <v>126</v>
      </c>
      <c r="F88" s="1" t="s">
        <v>68</v>
      </c>
      <c r="G88" s="8" t="s">
        <v>0</v>
      </c>
      <c r="H88" s="1">
        <v>30</v>
      </c>
      <c r="I88" s="10">
        <f>detail_avancement!B88</f>
        <v>30</v>
      </c>
      <c r="J88" s="10">
        <f t="shared" si="0"/>
        <v>0</v>
      </c>
      <c r="K88" s="13">
        <f t="shared" si="1"/>
        <v>1</v>
      </c>
      <c r="L88" s="14">
        <f t="shared" si="2"/>
        <v>0</v>
      </c>
    </row>
    <row r="89" spans="1:12" ht="15.75" customHeight="1">
      <c r="A89" s="8">
        <v>88</v>
      </c>
      <c r="B89" s="8" t="s">
        <v>20</v>
      </c>
      <c r="C89" s="1" t="s">
        <v>112</v>
      </c>
      <c r="D89" s="1" t="s">
        <v>113</v>
      </c>
      <c r="E89" s="1" t="s">
        <v>127</v>
      </c>
      <c r="F89" s="1" t="s">
        <v>68</v>
      </c>
      <c r="G89" s="8" t="s">
        <v>0</v>
      </c>
      <c r="H89" s="1">
        <v>45</v>
      </c>
      <c r="I89" s="10">
        <f>detail_avancement!B89</f>
        <v>30</v>
      </c>
      <c r="J89" s="10">
        <f t="shared" si="0"/>
        <v>15</v>
      </c>
      <c r="K89" s="13">
        <f t="shared" si="1"/>
        <v>0.66666666666666663</v>
      </c>
      <c r="L89" s="14">
        <f t="shared" si="2"/>
        <v>0</v>
      </c>
    </row>
    <row r="90" spans="1:12" ht="15.75" customHeight="1">
      <c r="A90" s="8">
        <v>89</v>
      </c>
      <c r="B90" s="8" t="s">
        <v>20</v>
      </c>
      <c r="C90" s="1" t="s">
        <v>112</v>
      </c>
      <c r="D90" s="1" t="s">
        <v>113</v>
      </c>
      <c r="E90" s="1" t="s">
        <v>128</v>
      </c>
      <c r="F90" s="1" t="s">
        <v>68</v>
      </c>
      <c r="G90" s="8" t="s">
        <v>0</v>
      </c>
      <c r="H90" s="1">
        <v>30</v>
      </c>
      <c r="I90" s="10">
        <f>detail_avancement!B90</f>
        <v>45</v>
      </c>
      <c r="J90" s="10">
        <f t="shared" si="0"/>
        <v>0</v>
      </c>
      <c r="K90" s="13">
        <f t="shared" si="1"/>
        <v>1</v>
      </c>
      <c r="L90" s="14">
        <f t="shared" si="2"/>
        <v>15</v>
      </c>
    </row>
    <row r="91" spans="1:12" ht="15.75" customHeight="1">
      <c r="A91" s="8">
        <v>90</v>
      </c>
      <c r="B91" s="8" t="s">
        <v>20</v>
      </c>
      <c r="C91" s="1" t="s">
        <v>112</v>
      </c>
      <c r="D91" s="1" t="s">
        <v>113</v>
      </c>
      <c r="E91" s="1" t="s">
        <v>129</v>
      </c>
      <c r="F91" s="1" t="s">
        <v>68</v>
      </c>
      <c r="G91" s="8" t="s">
        <v>0</v>
      </c>
      <c r="H91" s="1">
        <v>45</v>
      </c>
      <c r="I91" s="10">
        <f>detail_avancement!B91</f>
        <v>30</v>
      </c>
      <c r="J91" s="10">
        <f t="shared" si="0"/>
        <v>15</v>
      </c>
      <c r="K91" s="13">
        <f t="shared" si="1"/>
        <v>0.66666666666666663</v>
      </c>
      <c r="L91" s="14">
        <f t="shared" si="2"/>
        <v>0</v>
      </c>
    </row>
    <row r="92" spans="1:12" ht="15.75" customHeight="1">
      <c r="A92" s="8">
        <v>91</v>
      </c>
      <c r="B92" s="8" t="s">
        <v>20</v>
      </c>
      <c r="C92" s="1" t="s">
        <v>112</v>
      </c>
      <c r="D92" s="1" t="s">
        <v>113</v>
      </c>
      <c r="E92" s="1" t="s">
        <v>130</v>
      </c>
      <c r="F92" s="1" t="s">
        <v>68</v>
      </c>
      <c r="G92" s="8" t="s">
        <v>0</v>
      </c>
      <c r="H92" s="1">
        <v>30</v>
      </c>
      <c r="I92" s="10">
        <f>detail_avancement!B92</f>
        <v>45</v>
      </c>
      <c r="J92" s="10">
        <f t="shared" si="0"/>
        <v>0</v>
      </c>
      <c r="K92" s="13">
        <f t="shared" si="1"/>
        <v>1</v>
      </c>
      <c r="L92" s="14">
        <f t="shared" si="2"/>
        <v>15</v>
      </c>
    </row>
    <row r="93" spans="1:12" ht="15.75" customHeight="1">
      <c r="A93" s="8">
        <v>92</v>
      </c>
      <c r="B93" s="8" t="s">
        <v>20</v>
      </c>
      <c r="C93" s="1" t="s">
        <v>112</v>
      </c>
      <c r="D93" s="1" t="s">
        <v>113</v>
      </c>
      <c r="E93" s="1" t="s">
        <v>131</v>
      </c>
      <c r="F93" s="1" t="s">
        <v>68</v>
      </c>
      <c r="G93" s="8" t="s">
        <v>0</v>
      </c>
      <c r="H93" s="1">
        <v>30</v>
      </c>
      <c r="I93" s="10">
        <f>detail_avancement!B93</f>
        <v>30</v>
      </c>
      <c r="J93" s="10">
        <f t="shared" si="0"/>
        <v>0</v>
      </c>
      <c r="K93" s="13">
        <f t="shared" si="1"/>
        <v>1</v>
      </c>
      <c r="L93" s="14">
        <f t="shared" si="2"/>
        <v>0</v>
      </c>
    </row>
    <row r="94" spans="1:12" ht="15.75" customHeight="1">
      <c r="A94" s="8">
        <v>93</v>
      </c>
      <c r="B94" s="8" t="s">
        <v>20</v>
      </c>
      <c r="C94" s="1" t="s">
        <v>112</v>
      </c>
      <c r="D94" s="1" t="s">
        <v>113</v>
      </c>
      <c r="E94" s="1" t="s">
        <v>132</v>
      </c>
      <c r="F94" s="1" t="s">
        <v>68</v>
      </c>
      <c r="G94" s="8" t="s">
        <v>0</v>
      </c>
      <c r="H94" s="1">
        <v>45</v>
      </c>
      <c r="I94" s="10">
        <f>detail_avancement!B94</f>
        <v>30</v>
      </c>
      <c r="J94" s="10">
        <f t="shared" si="0"/>
        <v>15</v>
      </c>
      <c r="K94" s="13">
        <f t="shared" si="1"/>
        <v>0.66666666666666663</v>
      </c>
      <c r="L94" s="14">
        <f t="shared" si="2"/>
        <v>0</v>
      </c>
    </row>
    <row r="95" spans="1:12" ht="15.75" customHeight="1">
      <c r="A95" s="8">
        <v>94</v>
      </c>
      <c r="B95" s="8" t="s">
        <v>20</v>
      </c>
      <c r="C95" s="1" t="s">
        <v>112</v>
      </c>
      <c r="D95" s="1" t="s">
        <v>113</v>
      </c>
      <c r="E95" s="1" t="s">
        <v>133</v>
      </c>
      <c r="F95" s="1" t="s">
        <v>68</v>
      </c>
      <c r="G95" s="8" t="s">
        <v>0</v>
      </c>
      <c r="H95" s="1">
        <v>30</v>
      </c>
      <c r="I95" s="10">
        <f>detail_avancement!B95</f>
        <v>45</v>
      </c>
      <c r="J95" s="10">
        <f t="shared" si="0"/>
        <v>0</v>
      </c>
      <c r="K95" s="13">
        <f t="shared" si="1"/>
        <v>1</v>
      </c>
      <c r="L95" s="14">
        <f t="shared" si="2"/>
        <v>15</v>
      </c>
    </row>
    <row r="96" spans="1:12" ht="15.75" customHeight="1">
      <c r="A96" s="8">
        <v>95</v>
      </c>
      <c r="B96" s="8" t="s">
        <v>20</v>
      </c>
      <c r="C96" s="1" t="s">
        <v>112</v>
      </c>
      <c r="D96" s="1" t="s">
        <v>113</v>
      </c>
      <c r="E96" s="1" t="s">
        <v>134</v>
      </c>
      <c r="F96" s="1" t="s">
        <v>68</v>
      </c>
      <c r="G96" s="8" t="s">
        <v>0</v>
      </c>
      <c r="H96" s="1">
        <v>30</v>
      </c>
      <c r="I96" s="10">
        <f>detail_avancement!B96</f>
        <v>30</v>
      </c>
      <c r="J96" s="10">
        <f t="shared" si="0"/>
        <v>0</v>
      </c>
      <c r="K96" s="13">
        <f t="shared" si="1"/>
        <v>1</v>
      </c>
      <c r="L96" s="14">
        <f t="shared" si="2"/>
        <v>0</v>
      </c>
    </row>
    <row r="97" spans="1:12" ht="15.75" customHeight="1">
      <c r="A97" s="8">
        <v>96</v>
      </c>
      <c r="B97" s="8" t="s">
        <v>20</v>
      </c>
      <c r="C97" s="1" t="s">
        <v>112</v>
      </c>
      <c r="D97" s="1" t="s">
        <v>113</v>
      </c>
      <c r="E97" s="1" t="s">
        <v>135</v>
      </c>
      <c r="F97" s="1" t="s">
        <v>68</v>
      </c>
      <c r="G97" s="8" t="s">
        <v>0</v>
      </c>
      <c r="H97" s="1">
        <v>30</v>
      </c>
      <c r="I97" s="10">
        <f>detail_avancement!B97</f>
        <v>30</v>
      </c>
      <c r="J97" s="10">
        <f t="shared" si="0"/>
        <v>0</v>
      </c>
      <c r="K97" s="13">
        <f t="shared" si="1"/>
        <v>1</v>
      </c>
      <c r="L97" s="14">
        <f t="shared" si="2"/>
        <v>0</v>
      </c>
    </row>
    <row r="98" spans="1:12" ht="15.75" customHeight="1">
      <c r="A98" s="8">
        <v>97</v>
      </c>
      <c r="B98" s="8" t="s">
        <v>20</v>
      </c>
      <c r="C98" s="1" t="s">
        <v>112</v>
      </c>
      <c r="D98" s="1" t="s">
        <v>113</v>
      </c>
      <c r="E98" s="1" t="s">
        <v>136</v>
      </c>
      <c r="F98" s="1" t="s">
        <v>68</v>
      </c>
      <c r="G98" s="8" t="s">
        <v>0</v>
      </c>
      <c r="H98" s="1">
        <v>30</v>
      </c>
      <c r="I98" s="10">
        <f>detail_avancement!B98</f>
        <v>30</v>
      </c>
      <c r="J98" s="10">
        <f t="shared" si="0"/>
        <v>0</v>
      </c>
      <c r="K98" s="13">
        <f t="shared" si="1"/>
        <v>1</v>
      </c>
      <c r="L98" s="14">
        <f t="shared" si="2"/>
        <v>0</v>
      </c>
    </row>
    <row r="99" spans="1:12" ht="15.75" customHeight="1">
      <c r="A99" s="8">
        <v>98</v>
      </c>
      <c r="B99" s="8" t="s">
        <v>20</v>
      </c>
      <c r="C99" s="1" t="s">
        <v>112</v>
      </c>
      <c r="D99" s="1" t="s">
        <v>113</v>
      </c>
      <c r="E99" s="1" t="s">
        <v>137</v>
      </c>
      <c r="F99" s="1" t="s">
        <v>68</v>
      </c>
      <c r="G99" s="8" t="s">
        <v>0</v>
      </c>
      <c r="H99" s="1">
        <v>45</v>
      </c>
      <c r="I99" s="10">
        <f>detail_avancement!B99</f>
        <v>30</v>
      </c>
      <c r="J99" s="10">
        <f t="shared" si="0"/>
        <v>15</v>
      </c>
      <c r="K99" s="13">
        <f t="shared" si="1"/>
        <v>0.66666666666666663</v>
      </c>
      <c r="L99" s="14">
        <f t="shared" si="2"/>
        <v>0</v>
      </c>
    </row>
    <row r="100" spans="1:12" ht="15.75" customHeight="1">
      <c r="A100" s="8">
        <v>99</v>
      </c>
      <c r="B100" s="8" t="s">
        <v>20</v>
      </c>
      <c r="C100" s="1" t="s">
        <v>112</v>
      </c>
      <c r="D100" s="1" t="s">
        <v>138</v>
      </c>
      <c r="E100" s="1" t="s">
        <v>139</v>
      </c>
      <c r="F100" s="1" t="s">
        <v>62</v>
      </c>
      <c r="G100" s="8" t="s">
        <v>0</v>
      </c>
      <c r="H100" s="1">
        <v>30</v>
      </c>
      <c r="I100" s="10">
        <f>detail_avancement!B100</f>
        <v>45</v>
      </c>
      <c r="J100" s="10">
        <f t="shared" si="0"/>
        <v>0</v>
      </c>
      <c r="K100" s="13">
        <f t="shared" si="1"/>
        <v>1</v>
      </c>
      <c r="L100" s="14">
        <f t="shared" si="2"/>
        <v>15</v>
      </c>
    </row>
    <row r="101" spans="1:12" ht="15.75" customHeight="1">
      <c r="A101" s="8">
        <v>100</v>
      </c>
      <c r="B101" s="8" t="s">
        <v>20</v>
      </c>
      <c r="C101" s="1" t="s">
        <v>112</v>
      </c>
      <c r="D101" s="1" t="s">
        <v>138</v>
      </c>
      <c r="E101" s="1" t="s">
        <v>140</v>
      </c>
      <c r="F101" s="1" t="s">
        <v>62</v>
      </c>
      <c r="G101" s="8" t="s">
        <v>0</v>
      </c>
      <c r="H101" s="1">
        <v>30</v>
      </c>
      <c r="I101" s="10">
        <f>detail_avancement!B101</f>
        <v>0</v>
      </c>
      <c r="J101" s="10">
        <f t="shared" si="0"/>
        <v>30</v>
      </c>
      <c r="K101" s="13">
        <f t="shared" si="1"/>
        <v>0</v>
      </c>
      <c r="L101" s="14">
        <f t="shared" si="2"/>
        <v>0</v>
      </c>
    </row>
    <row r="102" spans="1:12" ht="15.75" customHeight="1">
      <c r="A102" s="8">
        <v>101</v>
      </c>
      <c r="B102" s="8" t="s">
        <v>20</v>
      </c>
      <c r="C102" s="1" t="s">
        <v>112</v>
      </c>
      <c r="D102" s="1" t="s">
        <v>138</v>
      </c>
      <c r="E102" s="1" t="s">
        <v>141</v>
      </c>
      <c r="F102" s="1" t="s">
        <v>62</v>
      </c>
      <c r="G102" s="8" t="s">
        <v>0</v>
      </c>
      <c r="H102" s="1">
        <v>15</v>
      </c>
      <c r="I102" s="10">
        <f>detail_avancement!B102</f>
        <v>0</v>
      </c>
      <c r="J102" s="10">
        <f t="shared" si="0"/>
        <v>15</v>
      </c>
      <c r="K102" s="13">
        <f t="shared" si="1"/>
        <v>0</v>
      </c>
      <c r="L102" s="14">
        <f t="shared" si="2"/>
        <v>0</v>
      </c>
    </row>
    <row r="103" spans="1:12" ht="15.75" customHeight="1">
      <c r="A103" s="8">
        <v>102</v>
      </c>
      <c r="B103" s="8" t="s">
        <v>20</v>
      </c>
      <c r="C103" s="1" t="s">
        <v>112</v>
      </c>
      <c r="D103" s="1" t="s">
        <v>138</v>
      </c>
      <c r="E103" s="1" t="s">
        <v>142</v>
      </c>
      <c r="F103" s="1" t="s">
        <v>68</v>
      </c>
      <c r="G103" s="8" t="s">
        <v>0</v>
      </c>
      <c r="H103" s="1">
        <v>45</v>
      </c>
      <c r="I103" s="10">
        <f>detail_avancement!B103</f>
        <v>0</v>
      </c>
      <c r="J103" s="10">
        <f t="shared" si="0"/>
        <v>45</v>
      </c>
      <c r="K103" s="13">
        <f t="shared" si="1"/>
        <v>0</v>
      </c>
      <c r="L103" s="14">
        <f t="shared" si="2"/>
        <v>0</v>
      </c>
    </row>
    <row r="104" spans="1:12" ht="15.75" customHeight="1">
      <c r="A104" s="8">
        <v>103</v>
      </c>
      <c r="B104" s="8" t="s">
        <v>20</v>
      </c>
      <c r="C104" s="1" t="s">
        <v>143</v>
      </c>
      <c r="D104" s="1" t="s">
        <v>144</v>
      </c>
      <c r="E104" s="1" t="s">
        <v>145</v>
      </c>
      <c r="F104" s="1" t="s">
        <v>24</v>
      </c>
      <c r="G104" s="8" t="s">
        <v>0</v>
      </c>
      <c r="H104" s="1">
        <v>30</v>
      </c>
      <c r="I104" s="10">
        <f>detail_avancement!B104</f>
        <v>30</v>
      </c>
      <c r="J104" s="10">
        <f t="shared" si="0"/>
        <v>0</v>
      </c>
      <c r="K104" s="13">
        <f t="shared" si="1"/>
        <v>1</v>
      </c>
      <c r="L104" s="14">
        <f t="shared" si="2"/>
        <v>0</v>
      </c>
    </row>
    <row r="105" spans="1:12" ht="15.75" customHeight="1">
      <c r="A105" s="8">
        <v>104</v>
      </c>
      <c r="B105" s="8" t="s">
        <v>20</v>
      </c>
      <c r="C105" s="1" t="s">
        <v>143</v>
      </c>
      <c r="D105" s="1" t="s">
        <v>144</v>
      </c>
      <c r="E105" s="1" t="s">
        <v>146</v>
      </c>
      <c r="F105" s="1" t="s">
        <v>24</v>
      </c>
      <c r="G105" s="8" t="s">
        <v>0</v>
      </c>
      <c r="H105" s="1">
        <v>30</v>
      </c>
      <c r="I105" s="10">
        <f>detail_avancement!B105</f>
        <v>30</v>
      </c>
      <c r="J105" s="10">
        <f t="shared" si="0"/>
        <v>0</v>
      </c>
      <c r="K105" s="13">
        <f t="shared" si="1"/>
        <v>1</v>
      </c>
      <c r="L105" s="14">
        <f t="shared" si="2"/>
        <v>0</v>
      </c>
    </row>
    <row r="106" spans="1:12" ht="15.75" customHeight="1">
      <c r="A106" s="8">
        <v>105</v>
      </c>
      <c r="B106" s="8" t="s">
        <v>20</v>
      </c>
      <c r="C106" s="1" t="s">
        <v>143</v>
      </c>
      <c r="D106" s="1" t="s">
        <v>144</v>
      </c>
      <c r="E106" s="1" t="s">
        <v>147</v>
      </c>
      <c r="F106" s="1" t="s">
        <v>24</v>
      </c>
      <c r="G106" s="8" t="s">
        <v>0</v>
      </c>
      <c r="H106" s="1">
        <v>30</v>
      </c>
      <c r="I106" s="10">
        <f>detail_avancement!B106</f>
        <v>30</v>
      </c>
      <c r="J106" s="10">
        <f t="shared" si="0"/>
        <v>0</v>
      </c>
      <c r="K106" s="13">
        <f t="shared" si="1"/>
        <v>1</v>
      </c>
      <c r="L106" s="14">
        <f t="shared" si="2"/>
        <v>0</v>
      </c>
    </row>
    <row r="107" spans="1:12" ht="15.75" customHeight="1">
      <c r="A107" s="8">
        <v>106</v>
      </c>
      <c r="B107" s="8" t="s">
        <v>20</v>
      </c>
      <c r="C107" s="1" t="s">
        <v>143</v>
      </c>
      <c r="D107" s="1" t="s">
        <v>144</v>
      </c>
      <c r="E107" s="1" t="s">
        <v>148</v>
      </c>
      <c r="F107" s="1" t="s">
        <v>24</v>
      </c>
      <c r="G107" s="8" t="s">
        <v>0</v>
      </c>
      <c r="H107" s="1">
        <v>30</v>
      </c>
      <c r="I107" s="10">
        <f>detail_avancement!B107</f>
        <v>30</v>
      </c>
      <c r="J107" s="10">
        <f t="shared" si="0"/>
        <v>0</v>
      </c>
      <c r="K107" s="13">
        <f t="shared" si="1"/>
        <v>1</v>
      </c>
      <c r="L107" s="14">
        <f t="shared" si="2"/>
        <v>0</v>
      </c>
    </row>
    <row r="108" spans="1:12" ht="15.75" customHeight="1">
      <c r="A108" s="8">
        <v>107</v>
      </c>
      <c r="B108" s="8" t="s">
        <v>20</v>
      </c>
      <c r="C108" s="1" t="s">
        <v>143</v>
      </c>
      <c r="D108" s="1" t="s">
        <v>144</v>
      </c>
      <c r="E108" s="1" t="s">
        <v>149</v>
      </c>
      <c r="F108" s="1" t="s">
        <v>24</v>
      </c>
      <c r="G108" s="8" t="s">
        <v>0</v>
      </c>
      <c r="H108" s="1">
        <v>30</v>
      </c>
      <c r="I108" s="10">
        <f>detail_avancement!B108</f>
        <v>30</v>
      </c>
      <c r="J108" s="10">
        <f t="shared" si="0"/>
        <v>0</v>
      </c>
      <c r="K108" s="13">
        <f t="shared" si="1"/>
        <v>1</v>
      </c>
      <c r="L108" s="14">
        <f t="shared" si="2"/>
        <v>0</v>
      </c>
    </row>
    <row r="109" spans="1:12" ht="15.75" customHeight="1">
      <c r="A109" s="8">
        <v>108</v>
      </c>
      <c r="B109" s="8" t="s">
        <v>20</v>
      </c>
      <c r="C109" s="1" t="s">
        <v>143</v>
      </c>
      <c r="D109" s="1" t="s">
        <v>144</v>
      </c>
      <c r="E109" s="1" t="s">
        <v>150</v>
      </c>
      <c r="F109" s="1" t="s">
        <v>24</v>
      </c>
      <c r="G109" s="8" t="s">
        <v>0</v>
      </c>
      <c r="H109" s="1">
        <v>30</v>
      </c>
      <c r="I109" s="10">
        <f>detail_avancement!B109</f>
        <v>30</v>
      </c>
      <c r="J109" s="10">
        <f t="shared" si="0"/>
        <v>0</v>
      </c>
      <c r="K109" s="13">
        <f t="shared" si="1"/>
        <v>1</v>
      </c>
      <c r="L109" s="14">
        <f t="shared" si="2"/>
        <v>0</v>
      </c>
    </row>
    <row r="110" spans="1:12" ht="15.75" customHeight="1">
      <c r="A110" s="8">
        <v>109</v>
      </c>
      <c r="B110" s="8" t="s">
        <v>20</v>
      </c>
      <c r="C110" s="1" t="s">
        <v>143</v>
      </c>
      <c r="D110" s="1" t="s">
        <v>144</v>
      </c>
      <c r="E110" s="1" t="s">
        <v>151</v>
      </c>
      <c r="F110" s="1" t="s">
        <v>24</v>
      </c>
      <c r="G110" s="8" t="s">
        <v>0</v>
      </c>
      <c r="H110" s="1">
        <v>30</v>
      </c>
      <c r="I110" s="10">
        <f>detail_avancement!B110</f>
        <v>30</v>
      </c>
      <c r="J110" s="10">
        <f t="shared" si="0"/>
        <v>0</v>
      </c>
      <c r="K110" s="13">
        <f t="shared" si="1"/>
        <v>1</v>
      </c>
      <c r="L110" s="14">
        <f t="shared" si="2"/>
        <v>0</v>
      </c>
    </row>
    <row r="111" spans="1:12" ht="15.75" customHeight="1">
      <c r="A111" s="8">
        <v>110</v>
      </c>
      <c r="B111" s="8" t="s">
        <v>20</v>
      </c>
      <c r="C111" s="1" t="s">
        <v>143</v>
      </c>
      <c r="D111" s="1" t="s">
        <v>144</v>
      </c>
      <c r="E111" s="1" t="s">
        <v>152</v>
      </c>
      <c r="F111" s="1" t="s">
        <v>24</v>
      </c>
      <c r="G111" s="8" t="s">
        <v>0</v>
      </c>
      <c r="H111" s="1">
        <v>15</v>
      </c>
      <c r="I111" s="10">
        <f>detail_avancement!B111</f>
        <v>15</v>
      </c>
      <c r="J111" s="10">
        <f t="shared" si="0"/>
        <v>0</v>
      </c>
      <c r="K111" s="13">
        <f t="shared" si="1"/>
        <v>1</v>
      </c>
      <c r="L111" s="14">
        <f t="shared" si="2"/>
        <v>0</v>
      </c>
    </row>
    <row r="112" spans="1:12" ht="15.75" customHeight="1">
      <c r="A112" s="8">
        <v>111</v>
      </c>
      <c r="B112" s="8" t="s">
        <v>20</v>
      </c>
      <c r="C112" s="1" t="s">
        <v>143</v>
      </c>
      <c r="D112" s="1" t="s">
        <v>144</v>
      </c>
      <c r="E112" s="1" t="s">
        <v>153</v>
      </c>
      <c r="F112" s="1" t="s">
        <v>24</v>
      </c>
      <c r="G112" s="8" t="s">
        <v>0</v>
      </c>
      <c r="H112" s="1">
        <v>45</v>
      </c>
      <c r="I112" s="10">
        <f>detail_avancement!B112</f>
        <v>45</v>
      </c>
      <c r="J112" s="10">
        <f t="shared" si="0"/>
        <v>0</v>
      </c>
      <c r="K112" s="13">
        <f t="shared" si="1"/>
        <v>1</v>
      </c>
      <c r="L112" s="14">
        <f t="shared" si="2"/>
        <v>0</v>
      </c>
    </row>
    <row r="113" spans="1:12" ht="15.75" customHeight="1">
      <c r="A113" s="8">
        <v>112</v>
      </c>
      <c r="B113" s="8" t="s">
        <v>20</v>
      </c>
      <c r="C113" s="1" t="s">
        <v>143</v>
      </c>
      <c r="D113" s="1" t="s">
        <v>144</v>
      </c>
      <c r="E113" s="1" t="s">
        <v>154</v>
      </c>
      <c r="F113" s="1" t="s">
        <v>24</v>
      </c>
      <c r="G113" s="8" t="s">
        <v>0</v>
      </c>
      <c r="H113" s="1">
        <v>30</v>
      </c>
      <c r="I113" s="10">
        <f>detail_avancement!B113</f>
        <v>30</v>
      </c>
      <c r="J113" s="10">
        <f t="shared" si="0"/>
        <v>0</v>
      </c>
      <c r="K113" s="13">
        <f t="shared" si="1"/>
        <v>1</v>
      </c>
      <c r="L113" s="14">
        <f t="shared" si="2"/>
        <v>0</v>
      </c>
    </row>
    <row r="114" spans="1:12" ht="15.75" customHeight="1">
      <c r="A114" s="8">
        <v>113</v>
      </c>
      <c r="B114" s="8" t="s">
        <v>20</v>
      </c>
      <c r="C114" s="1" t="s">
        <v>143</v>
      </c>
      <c r="D114" s="1" t="s">
        <v>155</v>
      </c>
      <c r="E114" s="1" t="s">
        <v>156</v>
      </c>
      <c r="F114" s="1" t="s">
        <v>68</v>
      </c>
      <c r="G114" s="8" t="s">
        <v>0</v>
      </c>
      <c r="H114" s="1">
        <v>15</v>
      </c>
      <c r="I114" s="10">
        <f>detail_avancement!B114</f>
        <v>0</v>
      </c>
      <c r="J114" s="10">
        <f t="shared" si="0"/>
        <v>15</v>
      </c>
      <c r="K114" s="13">
        <f t="shared" si="1"/>
        <v>0</v>
      </c>
      <c r="L114" s="14">
        <f t="shared" si="2"/>
        <v>0</v>
      </c>
    </row>
    <row r="115" spans="1:12" ht="15.75" customHeight="1">
      <c r="A115" s="8">
        <v>114</v>
      </c>
      <c r="B115" s="8" t="s">
        <v>20</v>
      </c>
      <c r="C115" s="1" t="s">
        <v>143</v>
      </c>
      <c r="D115" s="1" t="s">
        <v>155</v>
      </c>
      <c r="E115" s="1" t="s">
        <v>157</v>
      </c>
      <c r="F115" s="1" t="s">
        <v>68</v>
      </c>
      <c r="G115" s="8" t="s">
        <v>0</v>
      </c>
      <c r="H115" s="1">
        <v>15</v>
      </c>
      <c r="I115" s="10">
        <f>detail_avancement!B115</f>
        <v>0</v>
      </c>
      <c r="J115" s="10">
        <f t="shared" si="0"/>
        <v>15</v>
      </c>
      <c r="K115" s="13">
        <f t="shared" si="1"/>
        <v>0</v>
      </c>
      <c r="L115" s="14">
        <f t="shared" si="2"/>
        <v>0</v>
      </c>
    </row>
    <row r="116" spans="1:12" ht="15.75" customHeight="1">
      <c r="A116" s="8">
        <v>115</v>
      </c>
      <c r="B116" s="8" t="s">
        <v>20</v>
      </c>
      <c r="C116" s="1" t="s">
        <v>143</v>
      </c>
      <c r="D116" s="1" t="s">
        <v>155</v>
      </c>
      <c r="E116" s="1" t="s">
        <v>158</v>
      </c>
      <c r="F116" s="1" t="s">
        <v>68</v>
      </c>
      <c r="G116" s="8" t="s">
        <v>0</v>
      </c>
      <c r="H116" s="1">
        <v>15</v>
      </c>
      <c r="I116" s="10">
        <f>detail_avancement!B116</f>
        <v>0</v>
      </c>
      <c r="J116" s="10">
        <f t="shared" si="0"/>
        <v>15</v>
      </c>
      <c r="K116" s="13">
        <f t="shared" si="1"/>
        <v>0</v>
      </c>
      <c r="L116" s="14">
        <f t="shared" si="2"/>
        <v>0</v>
      </c>
    </row>
    <row r="117" spans="1:12" ht="15.75" customHeight="1">
      <c r="A117" s="8">
        <v>116</v>
      </c>
      <c r="B117" s="8" t="s">
        <v>20</v>
      </c>
      <c r="C117" s="1" t="s">
        <v>143</v>
      </c>
      <c r="D117" s="1" t="s">
        <v>155</v>
      </c>
      <c r="E117" s="1" t="s">
        <v>159</v>
      </c>
      <c r="F117" s="1" t="s">
        <v>68</v>
      </c>
      <c r="G117" s="8" t="s">
        <v>0</v>
      </c>
      <c r="H117" s="1">
        <v>15</v>
      </c>
      <c r="I117" s="10">
        <f>detail_avancement!B117</f>
        <v>0</v>
      </c>
      <c r="J117" s="10">
        <f t="shared" si="0"/>
        <v>15</v>
      </c>
      <c r="K117" s="13">
        <f t="shared" si="1"/>
        <v>0</v>
      </c>
      <c r="L117" s="14">
        <f t="shared" si="2"/>
        <v>0</v>
      </c>
    </row>
    <row r="118" spans="1:12" ht="15.75" customHeight="1">
      <c r="A118" s="8">
        <v>117</v>
      </c>
      <c r="B118" s="8" t="s">
        <v>20</v>
      </c>
      <c r="C118" s="1" t="s">
        <v>143</v>
      </c>
      <c r="D118" s="1" t="s">
        <v>155</v>
      </c>
      <c r="E118" s="1" t="s">
        <v>160</v>
      </c>
      <c r="F118" s="1" t="s">
        <v>68</v>
      </c>
      <c r="G118" s="8" t="s">
        <v>0</v>
      </c>
      <c r="H118" s="1">
        <v>15</v>
      </c>
      <c r="I118" s="10">
        <f>detail_avancement!B118</f>
        <v>0</v>
      </c>
      <c r="J118" s="10">
        <f t="shared" si="0"/>
        <v>15</v>
      </c>
      <c r="K118" s="13">
        <f t="shared" si="1"/>
        <v>0</v>
      </c>
      <c r="L118" s="14">
        <f t="shared" si="2"/>
        <v>0</v>
      </c>
    </row>
    <row r="119" spans="1:12" ht="15.75" customHeight="1">
      <c r="A119" s="8">
        <v>118</v>
      </c>
      <c r="B119" s="8" t="s">
        <v>20</v>
      </c>
      <c r="C119" s="1" t="s">
        <v>143</v>
      </c>
      <c r="D119" s="1" t="s">
        <v>155</v>
      </c>
      <c r="E119" s="1" t="s">
        <v>161</v>
      </c>
      <c r="F119" s="1" t="s">
        <v>68</v>
      </c>
      <c r="G119" s="8" t="s">
        <v>0</v>
      </c>
      <c r="H119" s="1">
        <v>15</v>
      </c>
      <c r="I119" s="10">
        <f>detail_avancement!B119</f>
        <v>0</v>
      </c>
      <c r="J119" s="10">
        <f t="shared" si="0"/>
        <v>15</v>
      </c>
      <c r="K119" s="13">
        <f t="shared" si="1"/>
        <v>0</v>
      </c>
      <c r="L119" s="14">
        <f t="shared" si="2"/>
        <v>0</v>
      </c>
    </row>
    <row r="120" spans="1:12" ht="15.75" customHeight="1">
      <c r="A120" s="8">
        <v>119</v>
      </c>
      <c r="B120" s="8" t="s">
        <v>20</v>
      </c>
      <c r="C120" s="1" t="s">
        <v>143</v>
      </c>
      <c r="D120" s="1" t="s">
        <v>155</v>
      </c>
      <c r="E120" s="1" t="s">
        <v>162</v>
      </c>
      <c r="F120" s="1" t="s">
        <v>68</v>
      </c>
      <c r="G120" s="8" t="s">
        <v>0</v>
      </c>
      <c r="H120" s="1">
        <v>15</v>
      </c>
      <c r="I120" s="10">
        <f>detail_avancement!B120</f>
        <v>0</v>
      </c>
      <c r="J120" s="10">
        <f t="shared" si="0"/>
        <v>15</v>
      </c>
      <c r="K120" s="13">
        <f t="shared" si="1"/>
        <v>0</v>
      </c>
      <c r="L120" s="14">
        <f t="shared" si="2"/>
        <v>0</v>
      </c>
    </row>
    <row r="121" spans="1:12" ht="15.75" customHeight="1">
      <c r="A121" s="8">
        <v>120</v>
      </c>
      <c r="B121" s="8" t="s">
        <v>20</v>
      </c>
      <c r="C121" s="1" t="s">
        <v>143</v>
      </c>
      <c r="D121" s="1" t="s">
        <v>155</v>
      </c>
      <c r="E121" s="1" t="s">
        <v>163</v>
      </c>
      <c r="F121" s="1" t="s">
        <v>68</v>
      </c>
      <c r="G121" s="8" t="s">
        <v>0</v>
      </c>
      <c r="H121" s="1">
        <v>15</v>
      </c>
      <c r="I121" s="10">
        <f>detail_avancement!B121</f>
        <v>0</v>
      </c>
      <c r="J121" s="10">
        <f t="shared" si="0"/>
        <v>15</v>
      </c>
      <c r="K121" s="13">
        <f t="shared" si="1"/>
        <v>0</v>
      </c>
      <c r="L121" s="14">
        <f t="shared" si="2"/>
        <v>0</v>
      </c>
    </row>
    <row r="122" spans="1:12" ht="15.75" customHeight="1">
      <c r="A122" s="8">
        <v>121</v>
      </c>
      <c r="B122" s="8" t="s">
        <v>20</v>
      </c>
      <c r="C122" s="1" t="s">
        <v>143</v>
      </c>
      <c r="D122" s="1" t="s">
        <v>155</v>
      </c>
      <c r="E122" s="1" t="s">
        <v>164</v>
      </c>
      <c r="F122" s="1" t="s">
        <v>68</v>
      </c>
      <c r="G122" s="8" t="s">
        <v>0</v>
      </c>
      <c r="H122" s="1">
        <v>15</v>
      </c>
      <c r="I122" s="10">
        <f>detail_avancement!B122</f>
        <v>0</v>
      </c>
      <c r="J122" s="10">
        <f t="shared" si="0"/>
        <v>15</v>
      </c>
      <c r="K122" s="13">
        <f t="shared" si="1"/>
        <v>0</v>
      </c>
      <c r="L122" s="14">
        <f t="shared" si="2"/>
        <v>0</v>
      </c>
    </row>
    <row r="123" spans="1:12" ht="15.75" customHeight="1">
      <c r="A123" s="8">
        <v>122</v>
      </c>
      <c r="B123" s="8" t="s">
        <v>20</v>
      </c>
      <c r="C123" s="1" t="s">
        <v>143</v>
      </c>
      <c r="D123" s="1" t="s">
        <v>155</v>
      </c>
      <c r="E123" s="1" t="s">
        <v>165</v>
      </c>
      <c r="F123" s="1" t="s">
        <v>68</v>
      </c>
      <c r="G123" s="8" t="s">
        <v>0</v>
      </c>
      <c r="H123" s="1">
        <v>15</v>
      </c>
      <c r="I123" s="10">
        <f>detail_avancement!B123</f>
        <v>0</v>
      </c>
      <c r="J123" s="10">
        <f t="shared" si="0"/>
        <v>15</v>
      </c>
      <c r="K123" s="13">
        <f t="shared" si="1"/>
        <v>0</v>
      </c>
      <c r="L123" s="14">
        <f t="shared" si="2"/>
        <v>0</v>
      </c>
    </row>
    <row r="124" spans="1:12" ht="15.75" customHeight="1">
      <c r="A124" s="8">
        <v>123</v>
      </c>
      <c r="B124" s="8" t="s">
        <v>20</v>
      </c>
      <c r="C124" s="1" t="s">
        <v>143</v>
      </c>
      <c r="D124" s="1" t="s">
        <v>155</v>
      </c>
      <c r="E124" s="1" t="s">
        <v>166</v>
      </c>
      <c r="F124" s="1" t="s">
        <v>68</v>
      </c>
      <c r="G124" s="8" t="s">
        <v>0</v>
      </c>
      <c r="H124" s="1">
        <v>15</v>
      </c>
      <c r="I124" s="10">
        <f>detail_avancement!B124</f>
        <v>0</v>
      </c>
      <c r="J124" s="10">
        <f t="shared" si="0"/>
        <v>15</v>
      </c>
      <c r="K124" s="13">
        <f t="shared" si="1"/>
        <v>0</v>
      </c>
      <c r="L124" s="14">
        <f t="shared" si="2"/>
        <v>0</v>
      </c>
    </row>
    <row r="125" spans="1:12" ht="15.75" customHeight="1">
      <c r="A125" s="8">
        <v>124</v>
      </c>
      <c r="B125" s="8" t="s">
        <v>20</v>
      </c>
      <c r="C125" s="1" t="s">
        <v>143</v>
      </c>
      <c r="D125" s="1" t="s">
        <v>155</v>
      </c>
      <c r="E125" s="1" t="s">
        <v>167</v>
      </c>
      <c r="F125" s="1" t="s">
        <v>68</v>
      </c>
      <c r="G125" s="8" t="s">
        <v>0</v>
      </c>
      <c r="H125" s="1">
        <v>15</v>
      </c>
      <c r="I125" s="10">
        <f>detail_avancement!B125</f>
        <v>0</v>
      </c>
      <c r="J125" s="10">
        <f t="shared" si="0"/>
        <v>15</v>
      </c>
      <c r="K125" s="13">
        <f t="shared" si="1"/>
        <v>0</v>
      </c>
      <c r="L125" s="14">
        <f t="shared" si="2"/>
        <v>0</v>
      </c>
    </row>
    <row r="126" spans="1:12" ht="15.75" customHeight="1">
      <c r="A126" s="8">
        <v>125</v>
      </c>
      <c r="B126" s="8" t="s">
        <v>20</v>
      </c>
      <c r="C126" s="1" t="s">
        <v>143</v>
      </c>
      <c r="D126" s="1" t="s">
        <v>168</v>
      </c>
      <c r="E126" s="1" t="s">
        <v>169</v>
      </c>
      <c r="F126" s="1" t="s">
        <v>68</v>
      </c>
      <c r="G126" s="8" t="s">
        <v>0</v>
      </c>
      <c r="H126" s="1">
        <v>30</v>
      </c>
      <c r="I126" s="10">
        <f>detail_avancement!B126</f>
        <v>0</v>
      </c>
      <c r="J126" s="10">
        <f t="shared" si="0"/>
        <v>30</v>
      </c>
      <c r="K126" s="13">
        <f t="shared" si="1"/>
        <v>0</v>
      </c>
      <c r="L126" s="14">
        <f t="shared" si="2"/>
        <v>0</v>
      </c>
    </row>
    <row r="127" spans="1:12" ht="15.75" customHeight="1">
      <c r="A127" s="8">
        <v>126</v>
      </c>
      <c r="B127" s="8" t="s">
        <v>20</v>
      </c>
      <c r="C127" s="1" t="s">
        <v>143</v>
      </c>
      <c r="D127" s="1" t="s">
        <v>168</v>
      </c>
      <c r="E127" s="1" t="s">
        <v>170</v>
      </c>
      <c r="F127" s="1" t="s">
        <v>68</v>
      </c>
      <c r="G127" s="8" t="s">
        <v>0</v>
      </c>
      <c r="H127" s="1">
        <v>30</v>
      </c>
      <c r="I127" s="10">
        <f>detail_avancement!B127</f>
        <v>0</v>
      </c>
      <c r="J127" s="10">
        <f t="shared" si="0"/>
        <v>30</v>
      </c>
      <c r="K127" s="13">
        <f t="shared" si="1"/>
        <v>0</v>
      </c>
      <c r="L127" s="14">
        <f t="shared" si="2"/>
        <v>0</v>
      </c>
    </row>
    <row r="128" spans="1:12" ht="15.75" customHeight="1">
      <c r="A128" s="8">
        <v>127</v>
      </c>
      <c r="B128" s="8" t="s">
        <v>20</v>
      </c>
      <c r="C128" s="1" t="s">
        <v>143</v>
      </c>
      <c r="D128" s="1" t="s">
        <v>168</v>
      </c>
      <c r="E128" s="1" t="s">
        <v>171</v>
      </c>
      <c r="F128" s="1" t="s">
        <v>68</v>
      </c>
      <c r="G128" s="8" t="s">
        <v>0</v>
      </c>
      <c r="H128" s="1">
        <v>30</v>
      </c>
      <c r="I128" s="10">
        <f>detail_avancement!B128</f>
        <v>0</v>
      </c>
      <c r="J128" s="10">
        <f t="shared" si="0"/>
        <v>30</v>
      </c>
      <c r="K128" s="13">
        <f t="shared" si="1"/>
        <v>0</v>
      </c>
      <c r="L128" s="14">
        <f t="shared" si="2"/>
        <v>0</v>
      </c>
    </row>
    <row r="129" spans="1:12" ht="15.75" customHeight="1">
      <c r="A129" s="8">
        <v>128</v>
      </c>
      <c r="B129" s="8" t="s">
        <v>20</v>
      </c>
      <c r="C129" s="1" t="s">
        <v>143</v>
      </c>
      <c r="D129" s="1" t="s">
        <v>168</v>
      </c>
      <c r="E129" s="1" t="s">
        <v>172</v>
      </c>
      <c r="F129" s="1" t="s">
        <v>68</v>
      </c>
      <c r="G129" s="8" t="s">
        <v>0</v>
      </c>
      <c r="H129" s="1">
        <v>15</v>
      </c>
      <c r="I129" s="10">
        <f>detail_avancement!B129</f>
        <v>0</v>
      </c>
      <c r="J129" s="10">
        <f t="shared" si="0"/>
        <v>15</v>
      </c>
      <c r="K129" s="13">
        <f t="shared" si="1"/>
        <v>0</v>
      </c>
      <c r="L129" s="14">
        <f t="shared" si="2"/>
        <v>0</v>
      </c>
    </row>
    <row r="130" spans="1:12" ht="15.75" customHeight="1">
      <c r="A130" s="8">
        <v>129</v>
      </c>
      <c r="B130" s="8" t="s">
        <v>20</v>
      </c>
      <c r="C130" s="1" t="s">
        <v>143</v>
      </c>
      <c r="D130" s="1" t="s">
        <v>168</v>
      </c>
      <c r="E130" s="1" t="s">
        <v>173</v>
      </c>
      <c r="F130" s="1" t="s">
        <v>68</v>
      </c>
      <c r="G130" s="8" t="s">
        <v>0</v>
      </c>
      <c r="H130" s="1">
        <v>15</v>
      </c>
      <c r="I130" s="10">
        <f>detail_avancement!B130</f>
        <v>0</v>
      </c>
      <c r="J130" s="10">
        <f t="shared" si="0"/>
        <v>15</v>
      </c>
      <c r="K130" s="13">
        <f t="shared" si="1"/>
        <v>0</v>
      </c>
      <c r="L130" s="14">
        <f t="shared" si="2"/>
        <v>0</v>
      </c>
    </row>
    <row r="131" spans="1:12" ht="15.75" customHeight="1">
      <c r="A131" s="8">
        <v>130</v>
      </c>
      <c r="B131" s="8" t="s">
        <v>20</v>
      </c>
      <c r="C131" s="1" t="s">
        <v>143</v>
      </c>
      <c r="D131" s="1" t="s">
        <v>168</v>
      </c>
      <c r="E131" s="1" t="s">
        <v>174</v>
      </c>
      <c r="F131" s="1" t="s">
        <v>68</v>
      </c>
      <c r="G131" s="8" t="s">
        <v>0</v>
      </c>
      <c r="H131" s="1">
        <v>15</v>
      </c>
      <c r="I131" s="10">
        <f>detail_avancement!B131</f>
        <v>0</v>
      </c>
      <c r="J131" s="10">
        <f t="shared" si="0"/>
        <v>15</v>
      </c>
      <c r="K131" s="13">
        <f t="shared" si="1"/>
        <v>0</v>
      </c>
      <c r="L131" s="14">
        <f t="shared" si="2"/>
        <v>0</v>
      </c>
    </row>
    <row r="132" spans="1:12" ht="15.75" customHeight="1">
      <c r="A132" s="8">
        <v>131</v>
      </c>
      <c r="B132" s="8" t="s">
        <v>20</v>
      </c>
      <c r="C132" s="1" t="s">
        <v>143</v>
      </c>
      <c r="D132" s="1" t="s">
        <v>168</v>
      </c>
      <c r="E132" s="1" t="s">
        <v>175</v>
      </c>
      <c r="F132" s="1" t="s">
        <v>68</v>
      </c>
      <c r="G132" s="8" t="s">
        <v>0</v>
      </c>
      <c r="H132" s="1">
        <v>15</v>
      </c>
      <c r="I132" s="10">
        <f>detail_avancement!B132</f>
        <v>0</v>
      </c>
      <c r="J132" s="10">
        <f t="shared" si="0"/>
        <v>15</v>
      </c>
      <c r="K132" s="13">
        <f t="shared" si="1"/>
        <v>0</v>
      </c>
      <c r="L132" s="14">
        <f t="shared" si="2"/>
        <v>0</v>
      </c>
    </row>
    <row r="133" spans="1:12" ht="15.75" customHeight="1">
      <c r="A133" s="8">
        <v>132</v>
      </c>
      <c r="B133" s="8" t="s">
        <v>20</v>
      </c>
      <c r="C133" s="1" t="s">
        <v>143</v>
      </c>
      <c r="D133" s="1" t="s">
        <v>168</v>
      </c>
      <c r="E133" s="1" t="s">
        <v>176</v>
      </c>
      <c r="F133" s="1" t="s">
        <v>68</v>
      </c>
      <c r="G133" s="8" t="s">
        <v>0</v>
      </c>
      <c r="H133" s="1">
        <v>30</v>
      </c>
      <c r="I133" s="10">
        <f>detail_avancement!B133</f>
        <v>0</v>
      </c>
      <c r="J133" s="10">
        <f t="shared" si="0"/>
        <v>30</v>
      </c>
      <c r="K133" s="13">
        <f t="shared" si="1"/>
        <v>0</v>
      </c>
      <c r="L133" s="14">
        <f t="shared" si="2"/>
        <v>0</v>
      </c>
    </row>
    <row r="134" spans="1:12" ht="15.75" customHeight="1">
      <c r="A134" s="8">
        <v>133</v>
      </c>
      <c r="B134" s="8" t="s">
        <v>20</v>
      </c>
      <c r="C134" s="1" t="s">
        <v>143</v>
      </c>
      <c r="D134" s="1" t="s">
        <v>177</v>
      </c>
      <c r="E134" s="1" t="s">
        <v>178</v>
      </c>
      <c r="F134" s="1" t="s">
        <v>62</v>
      </c>
      <c r="G134" s="8" t="s">
        <v>0</v>
      </c>
      <c r="H134" s="1">
        <v>30</v>
      </c>
      <c r="I134" s="10">
        <f>detail_avancement!B134</f>
        <v>0</v>
      </c>
      <c r="J134" s="10">
        <f t="shared" si="0"/>
        <v>30</v>
      </c>
      <c r="K134" s="13">
        <f t="shared" si="1"/>
        <v>0</v>
      </c>
      <c r="L134" s="14">
        <f t="shared" si="2"/>
        <v>0</v>
      </c>
    </row>
    <row r="135" spans="1:12" ht="15.75" customHeight="1">
      <c r="A135" s="8">
        <v>134</v>
      </c>
      <c r="B135" s="8" t="s">
        <v>20</v>
      </c>
      <c r="C135" s="1" t="s">
        <v>143</v>
      </c>
      <c r="D135" s="1" t="s">
        <v>177</v>
      </c>
      <c r="E135" s="1" t="s">
        <v>179</v>
      </c>
      <c r="F135" s="1" t="s">
        <v>62</v>
      </c>
      <c r="G135" s="8" t="s">
        <v>0</v>
      </c>
      <c r="H135" s="1">
        <v>30</v>
      </c>
      <c r="I135" s="10">
        <f>detail_avancement!B135</f>
        <v>0</v>
      </c>
      <c r="J135" s="10">
        <f t="shared" si="0"/>
        <v>30</v>
      </c>
      <c r="K135" s="13">
        <f t="shared" si="1"/>
        <v>0</v>
      </c>
      <c r="L135" s="14">
        <f t="shared" si="2"/>
        <v>0</v>
      </c>
    </row>
    <row r="136" spans="1:12" ht="15.75" customHeight="1">
      <c r="A136" s="8">
        <v>135</v>
      </c>
      <c r="B136" s="8" t="s">
        <v>20</v>
      </c>
      <c r="C136" s="1" t="s">
        <v>143</v>
      </c>
      <c r="D136" s="1" t="s">
        <v>177</v>
      </c>
      <c r="E136" s="1" t="s">
        <v>180</v>
      </c>
      <c r="F136" s="1" t="s">
        <v>62</v>
      </c>
      <c r="G136" s="8" t="s">
        <v>0</v>
      </c>
      <c r="H136" s="1">
        <v>30</v>
      </c>
      <c r="I136" s="10">
        <f>detail_avancement!B136</f>
        <v>0</v>
      </c>
      <c r="J136" s="10">
        <f t="shared" si="0"/>
        <v>30</v>
      </c>
      <c r="K136" s="13">
        <f t="shared" si="1"/>
        <v>0</v>
      </c>
      <c r="L136" s="14">
        <f t="shared" si="2"/>
        <v>0</v>
      </c>
    </row>
    <row r="137" spans="1:12" ht="15.75" customHeight="1">
      <c r="A137" s="8">
        <v>136</v>
      </c>
      <c r="B137" s="8" t="s">
        <v>20</v>
      </c>
      <c r="C137" s="1" t="s">
        <v>143</v>
      </c>
      <c r="D137" s="1" t="s">
        <v>177</v>
      </c>
      <c r="E137" s="1" t="s">
        <v>181</v>
      </c>
      <c r="F137" s="1" t="s">
        <v>62</v>
      </c>
      <c r="G137" s="8" t="s">
        <v>0</v>
      </c>
      <c r="H137" s="1">
        <v>30</v>
      </c>
      <c r="I137" s="10">
        <f>detail_avancement!B137</f>
        <v>0</v>
      </c>
      <c r="J137" s="10">
        <f t="shared" si="0"/>
        <v>30</v>
      </c>
      <c r="K137" s="13">
        <f t="shared" si="1"/>
        <v>0</v>
      </c>
      <c r="L137" s="14">
        <f t="shared" si="2"/>
        <v>0</v>
      </c>
    </row>
    <row r="138" spans="1:12" ht="15.75" customHeight="1">
      <c r="A138" s="8">
        <v>137</v>
      </c>
      <c r="B138" s="8" t="s">
        <v>20</v>
      </c>
      <c r="C138" s="1" t="s">
        <v>143</v>
      </c>
      <c r="D138" s="1" t="s">
        <v>177</v>
      </c>
      <c r="E138" s="1" t="s">
        <v>182</v>
      </c>
      <c r="F138" s="1" t="s">
        <v>62</v>
      </c>
      <c r="G138" s="8" t="s">
        <v>0</v>
      </c>
      <c r="H138" s="1">
        <v>30</v>
      </c>
      <c r="I138" s="10">
        <f>detail_avancement!B138</f>
        <v>0</v>
      </c>
      <c r="J138" s="10">
        <f t="shared" si="0"/>
        <v>30</v>
      </c>
      <c r="K138" s="13">
        <f t="shared" si="1"/>
        <v>0</v>
      </c>
      <c r="L138" s="14">
        <f t="shared" si="2"/>
        <v>0</v>
      </c>
    </row>
    <row r="139" spans="1:12" ht="15.75" customHeight="1">
      <c r="A139" s="8">
        <v>138</v>
      </c>
      <c r="B139" s="8" t="s">
        <v>20</v>
      </c>
      <c r="C139" s="1" t="s">
        <v>143</v>
      </c>
      <c r="D139" s="1" t="s">
        <v>177</v>
      </c>
      <c r="E139" s="1" t="s">
        <v>183</v>
      </c>
      <c r="F139" s="1" t="s">
        <v>62</v>
      </c>
      <c r="G139" s="8" t="s">
        <v>0</v>
      </c>
      <c r="H139" s="1">
        <v>30</v>
      </c>
      <c r="I139" s="10">
        <f>detail_avancement!B139</f>
        <v>0</v>
      </c>
      <c r="J139" s="10">
        <f t="shared" si="0"/>
        <v>30</v>
      </c>
      <c r="K139" s="13">
        <f t="shared" si="1"/>
        <v>0</v>
      </c>
      <c r="L139" s="14">
        <f t="shared" si="2"/>
        <v>0</v>
      </c>
    </row>
    <row r="140" spans="1:12" ht="15.75" customHeight="1">
      <c r="A140" s="8">
        <v>139</v>
      </c>
      <c r="B140" s="8" t="s">
        <v>184</v>
      </c>
      <c r="C140" s="1" t="s">
        <v>185</v>
      </c>
      <c r="D140" s="1" t="s">
        <v>186</v>
      </c>
      <c r="E140" s="1" t="s">
        <v>187</v>
      </c>
      <c r="F140" s="1" t="s">
        <v>188</v>
      </c>
      <c r="G140" s="8" t="s">
        <v>0</v>
      </c>
      <c r="H140" s="1">
        <v>15</v>
      </c>
      <c r="I140" s="10">
        <f>detail_avancement!B140</f>
        <v>0</v>
      </c>
      <c r="J140" s="10">
        <f t="shared" si="0"/>
        <v>15</v>
      </c>
      <c r="K140" s="13">
        <f t="shared" si="1"/>
        <v>0</v>
      </c>
      <c r="L140" s="14">
        <f t="shared" si="2"/>
        <v>0</v>
      </c>
    </row>
    <row r="141" spans="1:12" ht="15.75" customHeight="1">
      <c r="A141" s="8">
        <v>140</v>
      </c>
      <c r="B141" s="8" t="s">
        <v>184</v>
      </c>
      <c r="C141" s="1" t="s">
        <v>185</v>
      </c>
      <c r="D141" s="1" t="s">
        <v>186</v>
      </c>
      <c r="E141" s="1" t="s">
        <v>189</v>
      </c>
      <c r="F141" s="1" t="s">
        <v>188</v>
      </c>
      <c r="G141" s="8" t="s">
        <v>0</v>
      </c>
      <c r="H141" s="1">
        <v>15</v>
      </c>
      <c r="I141" s="10">
        <f>detail_avancement!B141</f>
        <v>0</v>
      </c>
      <c r="J141" s="10">
        <f t="shared" si="0"/>
        <v>15</v>
      </c>
      <c r="K141" s="13">
        <f t="shared" si="1"/>
        <v>0</v>
      </c>
      <c r="L141" s="14">
        <f t="shared" si="2"/>
        <v>0</v>
      </c>
    </row>
    <row r="142" spans="1:12" ht="15.75" customHeight="1">
      <c r="A142" s="8">
        <v>141</v>
      </c>
      <c r="B142" s="8" t="s">
        <v>184</v>
      </c>
      <c r="C142" s="1" t="s">
        <v>185</v>
      </c>
      <c r="D142" s="1" t="s">
        <v>186</v>
      </c>
      <c r="E142" s="1" t="s">
        <v>190</v>
      </c>
      <c r="F142" s="1" t="s">
        <v>188</v>
      </c>
      <c r="G142" s="8" t="s">
        <v>0</v>
      </c>
      <c r="H142" s="1">
        <v>30</v>
      </c>
      <c r="I142" s="10">
        <f>detail_avancement!B142</f>
        <v>0</v>
      </c>
      <c r="J142" s="10">
        <f t="shared" si="0"/>
        <v>30</v>
      </c>
      <c r="K142" s="13">
        <f t="shared" si="1"/>
        <v>0</v>
      </c>
      <c r="L142" s="14">
        <f t="shared" si="2"/>
        <v>0</v>
      </c>
    </row>
    <row r="143" spans="1:12" ht="15.75" customHeight="1">
      <c r="A143" s="8">
        <v>142</v>
      </c>
      <c r="B143" s="8" t="s">
        <v>184</v>
      </c>
      <c r="C143" s="1" t="s">
        <v>185</v>
      </c>
      <c r="D143" s="1" t="s">
        <v>186</v>
      </c>
      <c r="E143" s="1" t="s">
        <v>191</v>
      </c>
      <c r="F143" s="1" t="s">
        <v>188</v>
      </c>
      <c r="G143" s="8" t="s">
        <v>0</v>
      </c>
      <c r="H143" s="1">
        <v>15</v>
      </c>
      <c r="I143" s="10">
        <f>detail_avancement!B143</f>
        <v>0</v>
      </c>
      <c r="J143" s="10">
        <f t="shared" si="0"/>
        <v>15</v>
      </c>
      <c r="K143" s="13">
        <f t="shared" si="1"/>
        <v>0</v>
      </c>
      <c r="L143" s="14">
        <f t="shared" si="2"/>
        <v>0</v>
      </c>
    </row>
    <row r="144" spans="1:12" ht="15.75" customHeight="1">
      <c r="A144" s="8">
        <v>143</v>
      </c>
      <c r="B144" s="8" t="s">
        <v>184</v>
      </c>
      <c r="C144" s="1" t="s">
        <v>185</v>
      </c>
      <c r="D144" s="1" t="s">
        <v>186</v>
      </c>
      <c r="E144" s="1" t="s">
        <v>192</v>
      </c>
      <c r="F144" s="1" t="s">
        <v>188</v>
      </c>
      <c r="G144" s="8" t="s">
        <v>0</v>
      </c>
      <c r="H144" s="1">
        <v>15</v>
      </c>
      <c r="I144" s="10">
        <f>detail_avancement!B144</f>
        <v>0</v>
      </c>
      <c r="J144" s="10">
        <f t="shared" si="0"/>
        <v>15</v>
      </c>
      <c r="K144" s="13">
        <f t="shared" si="1"/>
        <v>0</v>
      </c>
      <c r="L144" s="14">
        <f t="shared" si="2"/>
        <v>0</v>
      </c>
    </row>
    <row r="145" spans="1:12" ht="15.75" customHeight="1">
      <c r="A145" s="8">
        <v>144</v>
      </c>
      <c r="B145" s="8" t="s">
        <v>184</v>
      </c>
      <c r="C145" s="1" t="s">
        <v>185</v>
      </c>
      <c r="D145" s="1" t="s">
        <v>186</v>
      </c>
      <c r="E145" s="1" t="s">
        <v>193</v>
      </c>
      <c r="F145" s="1" t="s">
        <v>188</v>
      </c>
      <c r="G145" s="8" t="s">
        <v>0</v>
      </c>
      <c r="H145" s="1">
        <v>30</v>
      </c>
      <c r="I145" s="10">
        <f>detail_avancement!B145</f>
        <v>0</v>
      </c>
      <c r="J145" s="10">
        <f t="shared" si="0"/>
        <v>30</v>
      </c>
      <c r="K145" s="13">
        <f t="shared" si="1"/>
        <v>0</v>
      </c>
      <c r="L145" s="14">
        <f t="shared" si="2"/>
        <v>0</v>
      </c>
    </row>
    <row r="146" spans="1:12" ht="15.75" customHeight="1">
      <c r="A146" s="8">
        <v>145</v>
      </c>
      <c r="B146" s="8" t="s">
        <v>184</v>
      </c>
      <c r="C146" s="1" t="s">
        <v>185</v>
      </c>
      <c r="D146" s="1" t="s">
        <v>194</v>
      </c>
      <c r="E146" s="1" t="s">
        <v>195</v>
      </c>
      <c r="F146" s="1" t="s">
        <v>188</v>
      </c>
      <c r="G146" s="8" t="s">
        <v>0</v>
      </c>
      <c r="H146" s="1">
        <v>30</v>
      </c>
      <c r="I146" s="10">
        <f>detail_avancement!B146</f>
        <v>0</v>
      </c>
      <c r="J146" s="10">
        <f t="shared" si="0"/>
        <v>30</v>
      </c>
      <c r="K146" s="13">
        <f t="shared" si="1"/>
        <v>0</v>
      </c>
      <c r="L146" s="14">
        <f t="shared" si="2"/>
        <v>0</v>
      </c>
    </row>
    <row r="147" spans="1:12" ht="15.75" customHeight="1">
      <c r="A147" s="8">
        <v>146</v>
      </c>
      <c r="B147" s="8" t="s">
        <v>184</v>
      </c>
      <c r="C147" s="1" t="s">
        <v>185</v>
      </c>
      <c r="D147" s="1" t="s">
        <v>194</v>
      </c>
      <c r="E147" s="1" t="s">
        <v>196</v>
      </c>
      <c r="F147" s="1" t="s">
        <v>188</v>
      </c>
      <c r="G147" s="8" t="s">
        <v>0</v>
      </c>
      <c r="H147" s="1">
        <v>30</v>
      </c>
      <c r="I147" s="10">
        <f>detail_avancement!B147</f>
        <v>0</v>
      </c>
      <c r="J147" s="10">
        <f t="shared" si="0"/>
        <v>30</v>
      </c>
      <c r="K147" s="13">
        <f t="shared" si="1"/>
        <v>0</v>
      </c>
      <c r="L147" s="14">
        <f t="shared" si="2"/>
        <v>0</v>
      </c>
    </row>
    <row r="148" spans="1:12" ht="15.75" customHeight="1">
      <c r="A148" s="8">
        <v>147</v>
      </c>
      <c r="B148" s="8" t="s">
        <v>184</v>
      </c>
      <c r="C148" s="1" t="s">
        <v>185</v>
      </c>
      <c r="D148" s="1" t="s">
        <v>194</v>
      </c>
      <c r="E148" s="1" t="s">
        <v>197</v>
      </c>
      <c r="F148" s="1" t="s">
        <v>188</v>
      </c>
      <c r="G148" s="8" t="s">
        <v>0</v>
      </c>
      <c r="H148" s="1">
        <v>15</v>
      </c>
      <c r="I148" s="10">
        <f>detail_avancement!B148</f>
        <v>0</v>
      </c>
      <c r="J148" s="10">
        <f t="shared" si="0"/>
        <v>15</v>
      </c>
      <c r="K148" s="13">
        <f t="shared" si="1"/>
        <v>0</v>
      </c>
      <c r="L148" s="14">
        <f t="shared" si="2"/>
        <v>0</v>
      </c>
    </row>
    <row r="149" spans="1:12" ht="15.75" customHeight="1">
      <c r="A149" s="8">
        <v>148</v>
      </c>
      <c r="B149" s="8" t="s">
        <v>184</v>
      </c>
      <c r="C149" s="1" t="s">
        <v>185</v>
      </c>
      <c r="D149" s="1" t="s">
        <v>194</v>
      </c>
      <c r="E149" s="1" t="s">
        <v>198</v>
      </c>
      <c r="F149" s="1" t="s">
        <v>188</v>
      </c>
      <c r="G149" s="8" t="s">
        <v>0</v>
      </c>
      <c r="H149" s="1">
        <v>15</v>
      </c>
      <c r="I149" s="10">
        <f>detail_avancement!B149</f>
        <v>0</v>
      </c>
      <c r="J149" s="10">
        <f t="shared" si="0"/>
        <v>15</v>
      </c>
      <c r="K149" s="13">
        <f t="shared" si="1"/>
        <v>0</v>
      </c>
      <c r="L149" s="14">
        <f t="shared" si="2"/>
        <v>0</v>
      </c>
    </row>
    <row r="150" spans="1:12" ht="15.75" customHeight="1">
      <c r="A150" s="8">
        <v>149</v>
      </c>
      <c r="B150" s="8" t="s">
        <v>184</v>
      </c>
      <c r="C150" s="1" t="s">
        <v>185</v>
      </c>
      <c r="D150" s="1" t="s">
        <v>194</v>
      </c>
      <c r="E150" s="1" t="s">
        <v>199</v>
      </c>
      <c r="F150" s="1" t="s">
        <v>188</v>
      </c>
      <c r="G150" s="8" t="s">
        <v>0</v>
      </c>
      <c r="H150" s="1">
        <v>30</v>
      </c>
      <c r="I150" s="10">
        <f>detail_avancement!B150</f>
        <v>0</v>
      </c>
      <c r="J150" s="10">
        <f t="shared" si="0"/>
        <v>30</v>
      </c>
      <c r="K150" s="13">
        <f t="shared" si="1"/>
        <v>0</v>
      </c>
      <c r="L150" s="14">
        <f t="shared" si="2"/>
        <v>0</v>
      </c>
    </row>
    <row r="151" spans="1:12" ht="15.75" customHeight="1">
      <c r="A151" s="8">
        <v>150</v>
      </c>
      <c r="B151" s="8" t="s">
        <v>184</v>
      </c>
      <c r="C151" s="1" t="s">
        <v>185</v>
      </c>
      <c r="D151" s="1" t="s">
        <v>200</v>
      </c>
      <c r="E151" s="1" t="s">
        <v>201</v>
      </c>
      <c r="F151" s="1" t="s">
        <v>188</v>
      </c>
      <c r="G151" s="8" t="s">
        <v>0</v>
      </c>
      <c r="H151" s="1">
        <v>15</v>
      </c>
      <c r="I151" s="10">
        <f>detail_avancement!B151</f>
        <v>0</v>
      </c>
      <c r="J151" s="10">
        <f t="shared" si="0"/>
        <v>15</v>
      </c>
      <c r="K151" s="13">
        <f t="shared" si="1"/>
        <v>0</v>
      </c>
      <c r="L151" s="14">
        <f t="shared" si="2"/>
        <v>0</v>
      </c>
    </row>
    <row r="152" spans="1:12" ht="15.75" customHeight="1">
      <c r="A152" s="8">
        <v>151</v>
      </c>
      <c r="B152" s="8" t="s">
        <v>184</v>
      </c>
      <c r="C152" s="1" t="s">
        <v>185</v>
      </c>
      <c r="D152" s="1" t="s">
        <v>200</v>
      </c>
      <c r="E152" s="1" t="s">
        <v>202</v>
      </c>
      <c r="F152" s="1" t="s">
        <v>188</v>
      </c>
      <c r="G152" s="8" t="s">
        <v>0</v>
      </c>
      <c r="H152" s="1">
        <v>15</v>
      </c>
      <c r="I152" s="10">
        <f>detail_avancement!B152</f>
        <v>0</v>
      </c>
      <c r="J152" s="10">
        <f t="shared" si="0"/>
        <v>15</v>
      </c>
      <c r="K152" s="13">
        <f t="shared" si="1"/>
        <v>0</v>
      </c>
      <c r="L152" s="14">
        <f t="shared" si="2"/>
        <v>0</v>
      </c>
    </row>
    <row r="153" spans="1:12" ht="15.75" customHeight="1">
      <c r="A153" s="8">
        <v>152</v>
      </c>
      <c r="B153" s="8" t="s">
        <v>184</v>
      </c>
      <c r="C153" s="1" t="s">
        <v>185</v>
      </c>
      <c r="D153" s="1" t="s">
        <v>200</v>
      </c>
      <c r="E153" s="1" t="s">
        <v>203</v>
      </c>
      <c r="F153" s="1" t="s">
        <v>188</v>
      </c>
      <c r="G153" s="8" t="s">
        <v>0</v>
      </c>
      <c r="H153" s="1">
        <v>30</v>
      </c>
      <c r="I153" s="10">
        <f>detail_avancement!B153</f>
        <v>0</v>
      </c>
      <c r="J153" s="10">
        <f t="shared" si="0"/>
        <v>30</v>
      </c>
      <c r="K153" s="13">
        <f t="shared" si="1"/>
        <v>0</v>
      </c>
      <c r="L153" s="14">
        <f t="shared" si="2"/>
        <v>0</v>
      </c>
    </row>
    <row r="154" spans="1:12" ht="15.75" customHeight="1">
      <c r="A154" s="8">
        <v>153</v>
      </c>
      <c r="B154" s="8" t="s">
        <v>184</v>
      </c>
      <c r="C154" s="1" t="s">
        <v>185</v>
      </c>
      <c r="D154" s="1" t="s">
        <v>204</v>
      </c>
      <c r="E154" s="1" t="s">
        <v>205</v>
      </c>
      <c r="F154" s="1" t="s">
        <v>188</v>
      </c>
      <c r="G154" s="8" t="s">
        <v>0</v>
      </c>
      <c r="H154" s="1">
        <v>30</v>
      </c>
      <c r="I154" s="10">
        <f>detail_avancement!B154</f>
        <v>0</v>
      </c>
      <c r="J154" s="10">
        <f t="shared" si="0"/>
        <v>30</v>
      </c>
      <c r="K154" s="13">
        <f t="shared" si="1"/>
        <v>0</v>
      </c>
      <c r="L154" s="14">
        <f t="shared" si="2"/>
        <v>0</v>
      </c>
    </row>
    <row r="155" spans="1:12" ht="15.75" customHeight="1">
      <c r="A155" s="8">
        <v>154</v>
      </c>
      <c r="B155" s="8" t="s">
        <v>184</v>
      </c>
      <c r="C155" s="1" t="s">
        <v>185</v>
      </c>
      <c r="D155" s="1" t="s">
        <v>204</v>
      </c>
      <c r="E155" s="1" t="s">
        <v>206</v>
      </c>
      <c r="F155" s="1" t="s">
        <v>188</v>
      </c>
      <c r="G155" s="8" t="s">
        <v>0</v>
      </c>
      <c r="H155" s="1">
        <v>30</v>
      </c>
      <c r="I155" s="10">
        <f>detail_avancement!B155</f>
        <v>0</v>
      </c>
      <c r="J155" s="10">
        <f t="shared" si="0"/>
        <v>30</v>
      </c>
      <c r="K155" s="13">
        <f t="shared" si="1"/>
        <v>0</v>
      </c>
      <c r="L155" s="14">
        <f t="shared" si="2"/>
        <v>0</v>
      </c>
    </row>
    <row r="156" spans="1:12" ht="15.75" customHeight="1">
      <c r="A156" s="8">
        <v>155</v>
      </c>
      <c r="B156" s="8" t="s">
        <v>184</v>
      </c>
      <c r="C156" s="1" t="s">
        <v>185</v>
      </c>
      <c r="D156" s="1" t="s">
        <v>204</v>
      </c>
      <c r="E156" s="1" t="s">
        <v>207</v>
      </c>
      <c r="F156" s="1" t="s">
        <v>188</v>
      </c>
      <c r="G156" s="8" t="s">
        <v>0</v>
      </c>
      <c r="H156" s="1">
        <v>30</v>
      </c>
      <c r="I156" s="10">
        <f>detail_avancement!B156</f>
        <v>0</v>
      </c>
      <c r="J156" s="10">
        <f t="shared" si="0"/>
        <v>30</v>
      </c>
      <c r="K156" s="13">
        <f t="shared" si="1"/>
        <v>0</v>
      </c>
      <c r="L156" s="14">
        <f t="shared" si="2"/>
        <v>0</v>
      </c>
    </row>
    <row r="157" spans="1:12" ht="15.75" customHeight="1">
      <c r="A157" s="8">
        <v>156</v>
      </c>
      <c r="B157" s="8" t="s">
        <v>184</v>
      </c>
      <c r="C157" s="1" t="s">
        <v>185</v>
      </c>
      <c r="D157" s="1" t="s">
        <v>204</v>
      </c>
      <c r="E157" s="1" t="s">
        <v>208</v>
      </c>
      <c r="F157" s="1" t="s">
        <v>188</v>
      </c>
      <c r="G157" s="8" t="s">
        <v>0</v>
      </c>
      <c r="H157" s="1">
        <v>30</v>
      </c>
      <c r="I157" s="10">
        <f>detail_avancement!B157</f>
        <v>0</v>
      </c>
      <c r="J157" s="10">
        <f t="shared" si="0"/>
        <v>30</v>
      </c>
      <c r="K157" s="13">
        <f t="shared" si="1"/>
        <v>0</v>
      </c>
      <c r="L157" s="14">
        <f t="shared" si="2"/>
        <v>0</v>
      </c>
    </row>
    <row r="158" spans="1:12" ht="15.75" customHeight="1">
      <c r="A158" s="8">
        <v>157</v>
      </c>
      <c r="B158" s="8" t="s">
        <v>184</v>
      </c>
      <c r="C158" s="1" t="s">
        <v>185</v>
      </c>
      <c r="D158" s="1" t="s">
        <v>204</v>
      </c>
      <c r="E158" s="1" t="s">
        <v>209</v>
      </c>
      <c r="F158" s="1" t="s">
        <v>188</v>
      </c>
      <c r="G158" s="8" t="s">
        <v>0</v>
      </c>
      <c r="H158" s="1">
        <v>30</v>
      </c>
      <c r="I158" s="10">
        <f>detail_avancement!B158</f>
        <v>0</v>
      </c>
      <c r="J158" s="10">
        <f t="shared" si="0"/>
        <v>30</v>
      </c>
      <c r="K158" s="13">
        <f t="shared" si="1"/>
        <v>0</v>
      </c>
      <c r="L158" s="14">
        <f t="shared" si="2"/>
        <v>0</v>
      </c>
    </row>
    <row r="159" spans="1:12" ht="15.75" customHeight="1">
      <c r="A159" s="8">
        <v>158</v>
      </c>
      <c r="B159" s="8" t="s">
        <v>184</v>
      </c>
      <c r="C159" s="1" t="s">
        <v>185</v>
      </c>
      <c r="D159" s="1" t="s">
        <v>204</v>
      </c>
      <c r="E159" s="1" t="s">
        <v>210</v>
      </c>
      <c r="F159" s="1" t="s">
        <v>188</v>
      </c>
      <c r="G159" s="8" t="s">
        <v>0</v>
      </c>
      <c r="H159" s="1">
        <v>30</v>
      </c>
      <c r="I159" s="10">
        <f>detail_avancement!B159</f>
        <v>0</v>
      </c>
      <c r="J159" s="10">
        <f t="shared" si="0"/>
        <v>30</v>
      </c>
      <c r="K159" s="13">
        <f t="shared" si="1"/>
        <v>0</v>
      </c>
      <c r="L159" s="14">
        <f t="shared" si="2"/>
        <v>0</v>
      </c>
    </row>
    <row r="160" spans="1:12" ht="15.75" customHeight="1">
      <c r="A160" s="8">
        <v>159</v>
      </c>
      <c r="B160" s="8" t="s">
        <v>184</v>
      </c>
      <c r="C160" s="1" t="s">
        <v>185</v>
      </c>
      <c r="D160" s="1" t="s">
        <v>211</v>
      </c>
      <c r="E160" s="1" t="s">
        <v>212</v>
      </c>
      <c r="F160" s="1" t="s">
        <v>213</v>
      </c>
      <c r="G160" s="8" t="s">
        <v>0</v>
      </c>
      <c r="H160" s="1">
        <v>30</v>
      </c>
      <c r="I160" s="10">
        <f>detail_avancement!B160</f>
        <v>0</v>
      </c>
      <c r="J160" s="10">
        <f t="shared" si="0"/>
        <v>30</v>
      </c>
      <c r="K160" s="13">
        <f t="shared" si="1"/>
        <v>0</v>
      </c>
      <c r="L160" s="14">
        <f t="shared" si="2"/>
        <v>0</v>
      </c>
    </row>
    <row r="161" spans="1:12" ht="15.75" customHeight="1">
      <c r="A161" s="8">
        <v>160</v>
      </c>
      <c r="B161" s="8" t="s">
        <v>184</v>
      </c>
      <c r="C161" s="1" t="s">
        <v>185</v>
      </c>
      <c r="D161" s="1" t="s">
        <v>211</v>
      </c>
      <c r="E161" s="1" t="s">
        <v>214</v>
      </c>
      <c r="F161" s="1" t="s">
        <v>213</v>
      </c>
      <c r="G161" s="8" t="s">
        <v>0</v>
      </c>
      <c r="H161" s="1">
        <v>15</v>
      </c>
      <c r="I161" s="10">
        <f>detail_avancement!B161</f>
        <v>0</v>
      </c>
      <c r="J161" s="10">
        <f t="shared" si="0"/>
        <v>15</v>
      </c>
      <c r="K161" s="13">
        <f t="shared" si="1"/>
        <v>0</v>
      </c>
      <c r="L161" s="14">
        <f t="shared" si="2"/>
        <v>0</v>
      </c>
    </row>
    <row r="162" spans="1:12" ht="15.75" customHeight="1">
      <c r="A162" s="8">
        <v>161</v>
      </c>
      <c r="B162" s="8" t="s">
        <v>184</v>
      </c>
      <c r="C162" s="1" t="s">
        <v>185</v>
      </c>
      <c r="D162" s="1" t="s">
        <v>211</v>
      </c>
      <c r="E162" s="1" t="s">
        <v>215</v>
      </c>
      <c r="F162" s="1" t="s">
        <v>213</v>
      </c>
      <c r="G162" s="8" t="s">
        <v>0</v>
      </c>
      <c r="H162" s="1">
        <v>15</v>
      </c>
      <c r="I162" s="10">
        <f>detail_avancement!B162</f>
        <v>0</v>
      </c>
      <c r="J162" s="10">
        <f t="shared" si="0"/>
        <v>15</v>
      </c>
      <c r="K162" s="13">
        <f t="shared" si="1"/>
        <v>0</v>
      </c>
      <c r="L162" s="14">
        <f t="shared" si="2"/>
        <v>0</v>
      </c>
    </row>
    <row r="163" spans="1:12" ht="15.75" customHeight="1">
      <c r="A163" s="8">
        <v>162</v>
      </c>
      <c r="B163" s="8" t="s">
        <v>184</v>
      </c>
      <c r="C163" s="1" t="s">
        <v>185</v>
      </c>
      <c r="D163" s="1" t="s">
        <v>211</v>
      </c>
      <c r="E163" s="1" t="s">
        <v>216</v>
      </c>
      <c r="F163" s="1" t="s">
        <v>213</v>
      </c>
      <c r="G163" s="8" t="s">
        <v>0</v>
      </c>
      <c r="H163" s="1">
        <v>15</v>
      </c>
      <c r="I163" s="10">
        <f>detail_avancement!B163</f>
        <v>0</v>
      </c>
      <c r="J163" s="10">
        <f t="shared" si="0"/>
        <v>15</v>
      </c>
      <c r="K163" s="13">
        <f t="shared" si="1"/>
        <v>0</v>
      </c>
      <c r="L163" s="14">
        <f t="shared" si="2"/>
        <v>0</v>
      </c>
    </row>
    <row r="164" spans="1:12" ht="15.75" customHeight="1">
      <c r="A164" s="8">
        <v>163</v>
      </c>
      <c r="B164" s="8" t="s">
        <v>184</v>
      </c>
      <c r="C164" s="1" t="s">
        <v>185</v>
      </c>
      <c r="D164" s="1" t="s">
        <v>211</v>
      </c>
      <c r="E164" s="1" t="s">
        <v>217</v>
      </c>
      <c r="F164" s="1" t="s">
        <v>213</v>
      </c>
      <c r="G164" s="8" t="s">
        <v>0</v>
      </c>
      <c r="H164" s="1">
        <v>15</v>
      </c>
      <c r="I164" s="10">
        <f>detail_avancement!B164</f>
        <v>0</v>
      </c>
      <c r="J164" s="10">
        <f t="shared" si="0"/>
        <v>15</v>
      </c>
      <c r="K164" s="13">
        <f t="shared" si="1"/>
        <v>0</v>
      </c>
      <c r="L164" s="14">
        <f t="shared" si="2"/>
        <v>0</v>
      </c>
    </row>
    <row r="165" spans="1:12" ht="15.75" customHeight="1">
      <c r="A165" s="8">
        <v>164</v>
      </c>
      <c r="B165" s="8" t="s">
        <v>184</v>
      </c>
      <c r="C165" s="1" t="s">
        <v>185</v>
      </c>
      <c r="D165" s="1" t="s">
        <v>211</v>
      </c>
      <c r="E165" s="1" t="s">
        <v>218</v>
      </c>
      <c r="F165" s="1" t="s">
        <v>213</v>
      </c>
      <c r="G165" s="8" t="s">
        <v>0</v>
      </c>
      <c r="H165" s="1">
        <v>30</v>
      </c>
      <c r="I165" s="10">
        <f>detail_avancement!B165</f>
        <v>0</v>
      </c>
      <c r="J165" s="10">
        <f t="shared" si="0"/>
        <v>30</v>
      </c>
      <c r="K165" s="13">
        <f t="shared" si="1"/>
        <v>0</v>
      </c>
      <c r="L165" s="14">
        <f t="shared" si="2"/>
        <v>0</v>
      </c>
    </row>
    <row r="166" spans="1:12" ht="15.75" customHeight="1">
      <c r="A166" s="8">
        <v>165</v>
      </c>
      <c r="B166" s="8" t="s">
        <v>184</v>
      </c>
      <c r="C166" s="1" t="s">
        <v>185</v>
      </c>
      <c r="D166" s="1" t="s">
        <v>219</v>
      </c>
      <c r="E166" s="1" t="s">
        <v>220</v>
      </c>
      <c r="F166" s="1" t="s">
        <v>188</v>
      </c>
      <c r="G166" s="8" t="s">
        <v>0</v>
      </c>
      <c r="H166" s="1">
        <v>30</v>
      </c>
      <c r="I166" s="10">
        <f>detail_avancement!B166</f>
        <v>0</v>
      </c>
      <c r="J166" s="10">
        <f t="shared" si="0"/>
        <v>30</v>
      </c>
      <c r="K166" s="13">
        <f t="shared" si="1"/>
        <v>0</v>
      </c>
      <c r="L166" s="14">
        <f t="shared" si="2"/>
        <v>0</v>
      </c>
    </row>
    <row r="167" spans="1:12" ht="15.75" customHeight="1">
      <c r="A167" s="8">
        <v>166</v>
      </c>
      <c r="B167" s="8" t="s">
        <v>184</v>
      </c>
      <c r="C167" s="1" t="s">
        <v>185</v>
      </c>
      <c r="D167" s="1" t="s">
        <v>219</v>
      </c>
      <c r="E167" s="1" t="s">
        <v>221</v>
      </c>
      <c r="F167" s="1" t="s">
        <v>188</v>
      </c>
      <c r="G167" s="8" t="s">
        <v>0</v>
      </c>
      <c r="H167" s="1">
        <v>30</v>
      </c>
      <c r="I167" s="10">
        <f>detail_avancement!B167</f>
        <v>0</v>
      </c>
      <c r="J167" s="10">
        <f t="shared" si="0"/>
        <v>30</v>
      </c>
      <c r="K167" s="13">
        <f t="shared" si="1"/>
        <v>0</v>
      </c>
      <c r="L167" s="14">
        <f t="shared" si="2"/>
        <v>0</v>
      </c>
    </row>
    <row r="168" spans="1:12" ht="15.75" customHeight="1">
      <c r="A168" s="8">
        <v>167</v>
      </c>
      <c r="B168" s="8" t="s">
        <v>184</v>
      </c>
      <c r="C168" s="1" t="s">
        <v>185</v>
      </c>
      <c r="D168" s="1" t="s">
        <v>219</v>
      </c>
      <c r="E168" s="1" t="s">
        <v>222</v>
      </c>
      <c r="F168" s="1" t="s">
        <v>188</v>
      </c>
      <c r="G168" s="8" t="s">
        <v>0</v>
      </c>
      <c r="H168" s="1">
        <v>30</v>
      </c>
      <c r="I168" s="10">
        <f>detail_avancement!B168</f>
        <v>0</v>
      </c>
      <c r="J168" s="10">
        <f t="shared" si="0"/>
        <v>30</v>
      </c>
      <c r="K168" s="13">
        <f t="shared" si="1"/>
        <v>0</v>
      </c>
      <c r="L168" s="14">
        <f t="shared" si="2"/>
        <v>0</v>
      </c>
    </row>
    <row r="169" spans="1:12" ht="15.75" customHeight="1">
      <c r="A169" s="8">
        <v>168</v>
      </c>
      <c r="B169" s="8" t="s">
        <v>184</v>
      </c>
      <c r="C169" s="1" t="s">
        <v>185</v>
      </c>
      <c r="D169" s="1" t="s">
        <v>219</v>
      </c>
      <c r="E169" s="1" t="s">
        <v>116</v>
      </c>
      <c r="F169" s="1" t="s">
        <v>188</v>
      </c>
      <c r="G169" s="8" t="s">
        <v>0</v>
      </c>
      <c r="H169" s="1">
        <v>30</v>
      </c>
      <c r="I169" s="10">
        <f>detail_avancement!B169</f>
        <v>0</v>
      </c>
      <c r="J169" s="10">
        <f t="shared" si="0"/>
        <v>30</v>
      </c>
      <c r="K169" s="13">
        <f t="shared" si="1"/>
        <v>0</v>
      </c>
      <c r="L169" s="14">
        <f t="shared" si="2"/>
        <v>0</v>
      </c>
    </row>
    <row r="170" spans="1:12" ht="15.75" customHeight="1">
      <c r="A170" s="8">
        <v>169</v>
      </c>
      <c r="B170" s="8" t="s">
        <v>184</v>
      </c>
      <c r="C170" s="1" t="s">
        <v>185</v>
      </c>
      <c r="D170" s="1" t="s">
        <v>219</v>
      </c>
      <c r="E170" s="1" t="s">
        <v>223</v>
      </c>
      <c r="F170" s="1" t="s">
        <v>188</v>
      </c>
      <c r="G170" s="8" t="s">
        <v>0</v>
      </c>
      <c r="H170" s="1">
        <v>30</v>
      </c>
      <c r="I170" s="10">
        <f>detail_avancement!B170</f>
        <v>0</v>
      </c>
      <c r="J170" s="10">
        <f t="shared" si="0"/>
        <v>30</v>
      </c>
      <c r="K170" s="13">
        <f t="shared" si="1"/>
        <v>0</v>
      </c>
      <c r="L170" s="14">
        <f t="shared" si="2"/>
        <v>0</v>
      </c>
    </row>
    <row r="171" spans="1:12" ht="15.75" customHeight="1">
      <c r="A171" s="8">
        <v>170</v>
      </c>
      <c r="B171" s="8" t="s">
        <v>184</v>
      </c>
      <c r="C171" s="1" t="s">
        <v>185</v>
      </c>
      <c r="D171" s="1" t="s">
        <v>219</v>
      </c>
      <c r="E171" s="1" t="s">
        <v>224</v>
      </c>
      <c r="F171" s="1" t="s">
        <v>188</v>
      </c>
      <c r="G171" s="8" t="s">
        <v>0</v>
      </c>
      <c r="H171" s="1">
        <v>30</v>
      </c>
      <c r="I171" s="10">
        <f>detail_avancement!B171</f>
        <v>0</v>
      </c>
      <c r="J171" s="10">
        <f t="shared" si="0"/>
        <v>30</v>
      </c>
      <c r="K171" s="13">
        <f t="shared" si="1"/>
        <v>0</v>
      </c>
      <c r="L171" s="14">
        <f t="shared" si="2"/>
        <v>0</v>
      </c>
    </row>
    <row r="172" spans="1:12" ht="15.75" customHeight="1">
      <c r="A172" s="8">
        <v>171</v>
      </c>
      <c r="B172" s="8" t="s">
        <v>184</v>
      </c>
      <c r="C172" s="1" t="s">
        <v>185</v>
      </c>
      <c r="D172" s="1" t="s">
        <v>225</v>
      </c>
      <c r="E172" s="1" t="s">
        <v>226</v>
      </c>
      <c r="F172" s="1" t="s">
        <v>227</v>
      </c>
      <c r="G172" s="8" t="s">
        <v>0</v>
      </c>
      <c r="H172" s="1">
        <v>15</v>
      </c>
      <c r="I172" s="10">
        <f>detail_avancement!B172</f>
        <v>0</v>
      </c>
      <c r="J172" s="10">
        <f t="shared" si="0"/>
        <v>15</v>
      </c>
      <c r="K172" s="13">
        <f t="shared" si="1"/>
        <v>0</v>
      </c>
      <c r="L172" s="14">
        <f t="shared" si="2"/>
        <v>0</v>
      </c>
    </row>
    <row r="173" spans="1:12" ht="15.75" customHeight="1">
      <c r="A173" s="8">
        <v>172</v>
      </c>
      <c r="B173" s="8" t="s">
        <v>184</v>
      </c>
      <c r="C173" s="1" t="s">
        <v>185</v>
      </c>
      <c r="D173" s="1" t="s">
        <v>225</v>
      </c>
      <c r="E173" s="1" t="s">
        <v>228</v>
      </c>
      <c r="F173" s="1" t="s">
        <v>227</v>
      </c>
      <c r="G173" s="8" t="s">
        <v>0</v>
      </c>
      <c r="H173" s="1">
        <v>15</v>
      </c>
      <c r="I173" s="10">
        <f>detail_avancement!B173</f>
        <v>0</v>
      </c>
      <c r="J173" s="10">
        <f t="shared" si="0"/>
        <v>15</v>
      </c>
      <c r="K173" s="13">
        <f t="shared" si="1"/>
        <v>0</v>
      </c>
      <c r="L173" s="14">
        <f t="shared" si="2"/>
        <v>0</v>
      </c>
    </row>
    <row r="174" spans="1:12" ht="15.75" customHeight="1">
      <c r="A174" s="8">
        <v>173</v>
      </c>
      <c r="B174" s="8" t="s">
        <v>184</v>
      </c>
      <c r="C174" s="1" t="s">
        <v>185</v>
      </c>
      <c r="D174" s="1" t="s">
        <v>225</v>
      </c>
      <c r="E174" s="1" t="s">
        <v>229</v>
      </c>
      <c r="F174" s="1" t="s">
        <v>227</v>
      </c>
      <c r="G174" s="8" t="s">
        <v>0</v>
      </c>
      <c r="H174" s="1">
        <v>30</v>
      </c>
      <c r="I174" s="10">
        <f>detail_avancement!B174</f>
        <v>0</v>
      </c>
      <c r="J174" s="10">
        <f t="shared" si="0"/>
        <v>30</v>
      </c>
      <c r="K174" s="13">
        <f t="shared" si="1"/>
        <v>0</v>
      </c>
      <c r="L174" s="14">
        <f t="shared" si="2"/>
        <v>0</v>
      </c>
    </row>
    <row r="175" spans="1:12" ht="15.75" customHeight="1">
      <c r="A175" s="8">
        <v>174</v>
      </c>
      <c r="B175" s="8" t="s">
        <v>184</v>
      </c>
      <c r="C175" s="1" t="s">
        <v>185</v>
      </c>
      <c r="D175" s="1" t="s">
        <v>230</v>
      </c>
      <c r="E175" s="1" t="s">
        <v>231</v>
      </c>
      <c r="F175" s="1" t="s">
        <v>227</v>
      </c>
      <c r="G175" s="8" t="s">
        <v>0</v>
      </c>
      <c r="H175" s="1">
        <v>30</v>
      </c>
      <c r="I175" s="10">
        <f>detail_avancement!B175</f>
        <v>0</v>
      </c>
      <c r="J175" s="10">
        <f t="shared" si="0"/>
        <v>30</v>
      </c>
      <c r="K175" s="13">
        <f t="shared" si="1"/>
        <v>0</v>
      </c>
      <c r="L175" s="14">
        <f t="shared" si="2"/>
        <v>0</v>
      </c>
    </row>
    <row r="176" spans="1:12" ht="15.75" customHeight="1">
      <c r="A176" s="8">
        <v>175</v>
      </c>
      <c r="B176" s="8" t="s">
        <v>184</v>
      </c>
      <c r="C176" s="1" t="s">
        <v>185</v>
      </c>
      <c r="D176" s="1" t="s">
        <v>230</v>
      </c>
      <c r="E176" s="1" t="s">
        <v>232</v>
      </c>
      <c r="F176" s="1" t="s">
        <v>227</v>
      </c>
      <c r="G176" s="8" t="s">
        <v>0</v>
      </c>
      <c r="H176" s="1">
        <v>15</v>
      </c>
      <c r="I176" s="10">
        <f>detail_avancement!B176</f>
        <v>0</v>
      </c>
      <c r="J176" s="10">
        <f t="shared" si="0"/>
        <v>15</v>
      </c>
      <c r="K176" s="13">
        <f t="shared" si="1"/>
        <v>0</v>
      </c>
      <c r="L176" s="14">
        <f t="shared" si="2"/>
        <v>0</v>
      </c>
    </row>
    <row r="177" spans="1:12" ht="15.75" customHeight="1">
      <c r="A177" s="8">
        <v>176</v>
      </c>
      <c r="B177" s="8" t="s">
        <v>184</v>
      </c>
      <c r="C177" s="1" t="s">
        <v>185</v>
      </c>
      <c r="D177" s="1" t="s">
        <v>230</v>
      </c>
      <c r="E177" s="1" t="s">
        <v>233</v>
      </c>
      <c r="F177" s="1" t="s">
        <v>227</v>
      </c>
      <c r="G177" s="8" t="s">
        <v>0</v>
      </c>
      <c r="H177" s="1">
        <v>15</v>
      </c>
      <c r="I177" s="10">
        <f>detail_avancement!B177</f>
        <v>0</v>
      </c>
      <c r="J177" s="10">
        <f t="shared" si="0"/>
        <v>15</v>
      </c>
      <c r="K177" s="13">
        <f t="shared" si="1"/>
        <v>0</v>
      </c>
      <c r="L177" s="14">
        <f t="shared" si="2"/>
        <v>0</v>
      </c>
    </row>
    <row r="178" spans="1:12" ht="15.75" customHeight="1">
      <c r="A178" s="8">
        <v>177</v>
      </c>
      <c r="B178" s="8" t="s">
        <v>234</v>
      </c>
      <c r="C178" s="1" t="s">
        <v>235</v>
      </c>
      <c r="D178" s="1" t="s">
        <v>236</v>
      </c>
      <c r="E178" s="1" t="s">
        <v>237</v>
      </c>
      <c r="F178" s="1" t="s">
        <v>213</v>
      </c>
      <c r="G178" s="8" t="s">
        <v>0</v>
      </c>
      <c r="H178" s="1">
        <v>30</v>
      </c>
      <c r="I178" s="10">
        <f>detail_avancement!B178</f>
        <v>0</v>
      </c>
      <c r="J178" s="10">
        <f t="shared" si="0"/>
        <v>30</v>
      </c>
      <c r="K178" s="13">
        <f t="shared" si="1"/>
        <v>0</v>
      </c>
      <c r="L178" s="14">
        <f t="shared" si="2"/>
        <v>0</v>
      </c>
    </row>
    <row r="179" spans="1:12" ht="15.75" customHeight="1">
      <c r="A179" s="8">
        <v>178</v>
      </c>
      <c r="B179" s="8" t="s">
        <v>234</v>
      </c>
      <c r="C179" s="1" t="s">
        <v>235</v>
      </c>
      <c r="D179" s="1" t="s">
        <v>236</v>
      </c>
      <c r="E179" s="1" t="s">
        <v>238</v>
      </c>
      <c r="F179" s="1" t="s">
        <v>213</v>
      </c>
      <c r="G179" s="8" t="s">
        <v>0</v>
      </c>
      <c r="H179" s="1">
        <v>30</v>
      </c>
      <c r="I179" s="10">
        <f>detail_avancement!B179</f>
        <v>0</v>
      </c>
      <c r="J179" s="10">
        <f t="shared" si="0"/>
        <v>30</v>
      </c>
      <c r="K179" s="13">
        <f t="shared" si="1"/>
        <v>0</v>
      </c>
      <c r="L179" s="14">
        <f t="shared" si="2"/>
        <v>0</v>
      </c>
    </row>
    <row r="180" spans="1:12" ht="15.75" customHeight="1">
      <c r="A180" s="8">
        <v>179</v>
      </c>
      <c r="B180" s="8" t="s">
        <v>234</v>
      </c>
      <c r="C180" s="1" t="s">
        <v>235</v>
      </c>
      <c r="D180" s="1" t="s">
        <v>236</v>
      </c>
      <c r="E180" s="1" t="s">
        <v>239</v>
      </c>
      <c r="F180" s="1" t="s">
        <v>213</v>
      </c>
      <c r="G180" s="8" t="s">
        <v>0</v>
      </c>
      <c r="H180" s="1">
        <v>30</v>
      </c>
      <c r="I180" s="10">
        <f>detail_avancement!B180</f>
        <v>0</v>
      </c>
      <c r="J180" s="10">
        <f t="shared" si="0"/>
        <v>30</v>
      </c>
      <c r="K180" s="13">
        <f t="shared" si="1"/>
        <v>0</v>
      </c>
      <c r="L180" s="14">
        <f t="shared" si="2"/>
        <v>0</v>
      </c>
    </row>
    <row r="181" spans="1:12" ht="15.75" customHeight="1">
      <c r="A181" s="8">
        <v>180</v>
      </c>
      <c r="B181" s="8" t="s">
        <v>234</v>
      </c>
      <c r="C181" s="1" t="s">
        <v>235</v>
      </c>
      <c r="D181" s="1" t="s">
        <v>236</v>
      </c>
      <c r="E181" s="1" t="s">
        <v>240</v>
      </c>
      <c r="F181" s="1" t="s">
        <v>213</v>
      </c>
      <c r="G181" s="8" t="s">
        <v>0</v>
      </c>
      <c r="H181" s="1">
        <v>15</v>
      </c>
      <c r="I181" s="10">
        <f>detail_avancement!B181</f>
        <v>0</v>
      </c>
      <c r="J181" s="10">
        <f t="shared" si="0"/>
        <v>15</v>
      </c>
      <c r="K181" s="13">
        <f t="shared" si="1"/>
        <v>0</v>
      </c>
      <c r="L181" s="14">
        <f t="shared" si="2"/>
        <v>0</v>
      </c>
    </row>
    <row r="182" spans="1:12" ht="15.75" customHeight="1">
      <c r="A182" s="8">
        <v>181</v>
      </c>
      <c r="B182" s="8" t="s">
        <v>234</v>
      </c>
      <c r="C182" s="1" t="s">
        <v>235</v>
      </c>
      <c r="D182" s="1" t="s">
        <v>236</v>
      </c>
      <c r="E182" s="1" t="s">
        <v>241</v>
      </c>
      <c r="F182" s="1" t="s">
        <v>213</v>
      </c>
      <c r="G182" s="8" t="s">
        <v>0</v>
      </c>
      <c r="H182" s="1">
        <v>15</v>
      </c>
      <c r="I182" s="10">
        <f>detail_avancement!B182</f>
        <v>0</v>
      </c>
      <c r="J182" s="10">
        <f t="shared" si="0"/>
        <v>15</v>
      </c>
      <c r="K182" s="13">
        <f t="shared" si="1"/>
        <v>0</v>
      </c>
      <c r="L182" s="14">
        <f t="shared" si="2"/>
        <v>0</v>
      </c>
    </row>
    <row r="183" spans="1:12" ht="15.75" customHeight="1">
      <c r="A183" s="8">
        <v>182</v>
      </c>
      <c r="B183" s="8" t="s">
        <v>234</v>
      </c>
      <c r="C183" s="1" t="s">
        <v>235</v>
      </c>
      <c r="D183" s="1" t="s">
        <v>236</v>
      </c>
      <c r="E183" s="1" t="s">
        <v>242</v>
      </c>
      <c r="F183" s="1" t="s">
        <v>213</v>
      </c>
      <c r="G183" s="8" t="s">
        <v>0</v>
      </c>
      <c r="H183" s="1">
        <v>30</v>
      </c>
      <c r="I183" s="10">
        <f>detail_avancement!B183</f>
        <v>0</v>
      </c>
      <c r="J183" s="10">
        <f t="shared" si="0"/>
        <v>30</v>
      </c>
      <c r="K183" s="13">
        <f t="shared" si="1"/>
        <v>0</v>
      </c>
      <c r="L183" s="14">
        <f t="shared" si="2"/>
        <v>0</v>
      </c>
    </row>
    <row r="184" spans="1:12" ht="15.75" customHeight="1">
      <c r="A184" s="8">
        <v>183</v>
      </c>
      <c r="B184" s="8" t="s">
        <v>234</v>
      </c>
      <c r="C184" s="1" t="s">
        <v>235</v>
      </c>
      <c r="D184" s="1" t="s">
        <v>236</v>
      </c>
      <c r="E184" s="1" t="s">
        <v>243</v>
      </c>
      <c r="F184" s="1" t="s">
        <v>213</v>
      </c>
      <c r="G184" s="8" t="s">
        <v>0</v>
      </c>
      <c r="H184" s="1">
        <v>30</v>
      </c>
      <c r="I184" s="10">
        <f>detail_avancement!B184</f>
        <v>0</v>
      </c>
      <c r="J184" s="10">
        <f t="shared" si="0"/>
        <v>30</v>
      </c>
      <c r="K184" s="13">
        <f t="shared" si="1"/>
        <v>0</v>
      </c>
      <c r="L184" s="14">
        <f t="shared" si="2"/>
        <v>0</v>
      </c>
    </row>
    <row r="185" spans="1:12" ht="15.75" customHeight="1">
      <c r="A185" s="8">
        <v>184</v>
      </c>
      <c r="B185" s="8" t="s">
        <v>234</v>
      </c>
      <c r="C185" s="1" t="s">
        <v>235</v>
      </c>
      <c r="D185" s="1" t="s">
        <v>236</v>
      </c>
      <c r="E185" s="1" t="s">
        <v>244</v>
      </c>
      <c r="F185" s="1" t="s">
        <v>213</v>
      </c>
      <c r="G185" s="8" t="s">
        <v>0</v>
      </c>
      <c r="H185" s="1">
        <v>15</v>
      </c>
      <c r="I185" s="10">
        <f>detail_avancement!B185</f>
        <v>0</v>
      </c>
      <c r="J185" s="10">
        <f t="shared" si="0"/>
        <v>15</v>
      </c>
      <c r="K185" s="13">
        <f t="shared" si="1"/>
        <v>0</v>
      </c>
      <c r="L185" s="14">
        <f t="shared" si="2"/>
        <v>0</v>
      </c>
    </row>
    <row r="186" spans="1:12" ht="15.75" customHeight="1">
      <c r="A186" s="8">
        <v>185</v>
      </c>
      <c r="B186" s="8" t="s">
        <v>234</v>
      </c>
      <c r="C186" s="1" t="s">
        <v>235</v>
      </c>
      <c r="D186" s="1" t="s">
        <v>236</v>
      </c>
      <c r="E186" s="1" t="s">
        <v>245</v>
      </c>
      <c r="F186" s="1" t="s">
        <v>213</v>
      </c>
      <c r="G186" s="8" t="s">
        <v>0</v>
      </c>
      <c r="H186" s="1">
        <v>30</v>
      </c>
      <c r="I186" s="10">
        <f>detail_avancement!B186</f>
        <v>0</v>
      </c>
      <c r="J186" s="10">
        <f t="shared" si="0"/>
        <v>30</v>
      </c>
      <c r="K186" s="13">
        <f t="shared" si="1"/>
        <v>0</v>
      </c>
      <c r="L186" s="14">
        <f t="shared" si="2"/>
        <v>0</v>
      </c>
    </row>
    <row r="187" spans="1:12" ht="15.75" customHeight="1">
      <c r="A187" s="8">
        <v>186</v>
      </c>
      <c r="B187" s="8" t="s">
        <v>234</v>
      </c>
      <c r="C187" s="1" t="s">
        <v>235</v>
      </c>
      <c r="D187" s="1" t="s">
        <v>236</v>
      </c>
      <c r="E187" s="1" t="s">
        <v>246</v>
      </c>
      <c r="F187" s="1" t="s">
        <v>213</v>
      </c>
      <c r="G187" s="8" t="s">
        <v>0</v>
      </c>
      <c r="H187" s="1">
        <v>15</v>
      </c>
      <c r="I187" s="10">
        <f>detail_avancement!B187</f>
        <v>0</v>
      </c>
      <c r="J187" s="10">
        <f t="shared" si="0"/>
        <v>15</v>
      </c>
      <c r="K187" s="13">
        <f t="shared" si="1"/>
        <v>0</v>
      </c>
      <c r="L187" s="14">
        <f t="shared" si="2"/>
        <v>0</v>
      </c>
    </row>
    <row r="188" spans="1:12" ht="15.75" customHeight="1">
      <c r="A188" s="8">
        <v>187</v>
      </c>
      <c r="B188" s="8" t="s">
        <v>234</v>
      </c>
      <c r="C188" s="1" t="s">
        <v>235</v>
      </c>
      <c r="D188" s="1" t="s">
        <v>247</v>
      </c>
      <c r="E188" s="1" t="s">
        <v>248</v>
      </c>
      <c r="F188" s="1" t="s">
        <v>213</v>
      </c>
      <c r="G188" s="8" t="s">
        <v>0</v>
      </c>
      <c r="H188" s="1">
        <v>30</v>
      </c>
      <c r="I188" s="10">
        <f>detail_avancement!B188</f>
        <v>0</v>
      </c>
      <c r="J188" s="10">
        <f t="shared" si="0"/>
        <v>30</v>
      </c>
      <c r="K188" s="13">
        <f t="shared" si="1"/>
        <v>0</v>
      </c>
      <c r="L188" s="14">
        <f t="shared" si="2"/>
        <v>0</v>
      </c>
    </row>
    <row r="189" spans="1:12" ht="15.75" customHeight="1">
      <c r="A189" s="8">
        <v>188</v>
      </c>
      <c r="B189" s="8" t="s">
        <v>234</v>
      </c>
      <c r="C189" s="1" t="s">
        <v>235</v>
      </c>
      <c r="D189" s="1" t="s">
        <v>247</v>
      </c>
      <c r="E189" s="1" t="s">
        <v>249</v>
      </c>
      <c r="F189" s="1" t="s">
        <v>213</v>
      </c>
      <c r="G189" s="8" t="s">
        <v>0</v>
      </c>
      <c r="H189" s="1">
        <v>30</v>
      </c>
      <c r="I189" s="10">
        <f>detail_avancement!B189</f>
        <v>0</v>
      </c>
      <c r="J189" s="10">
        <f t="shared" si="0"/>
        <v>30</v>
      </c>
      <c r="K189" s="13">
        <f t="shared" si="1"/>
        <v>0</v>
      </c>
      <c r="L189" s="14">
        <f t="shared" si="2"/>
        <v>0</v>
      </c>
    </row>
    <row r="190" spans="1:12" ht="15.75" customHeight="1">
      <c r="A190" s="8">
        <v>189</v>
      </c>
      <c r="B190" s="8" t="s">
        <v>234</v>
      </c>
      <c r="C190" s="1" t="s">
        <v>235</v>
      </c>
      <c r="D190" s="1" t="s">
        <v>250</v>
      </c>
      <c r="E190" s="1" t="s">
        <v>251</v>
      </c>
      <c r="F190" s="1" t="s">
        <v>106</v>
      </c>
      <c r="G190" s="8" t="s">
        <v>0</v>
      </c>
      <c r="H190" s="1">
        <v>15</v>
      </c>
      <c r="I190" s="10">
        <f>detail_avancement!B190</f>
        <v>0</v>
      </c>
      <c r="J190" s="10">
        <f t="shared" si="0"/>
        <v>15</v>
      </c>
      <c r="K190" s="13">
        <f t="shared" si="1"/>
        <v>0</v>
      </c>
      <c r="L190" s="14">
        <f t="shared" si="2"/>
        <v>0</v>
      </c>
    </row>
    <row r="191" spans="1:12" ht="15.75" customHeight="1">
      <c r="A191" s="8">
        <v>190</v>
      </c>
      <c r="B191" s="8" t="s">
        <v>234</v>
      </c>
      <c r="C191" s="1" t="s">
        <v>235</v>
      </c>
      <c r="D191" s="1" t="s">
        <v>250</v>
      </c>
      <c r="E191" s="1" t="s">
        <v>252</v>
      </c>
      <c r="F191" s="1" t="s">
        <v>106</v>
      </c>
      <c r="G191" s="8" t="s">
        <v>0</v>
      </c>
      <c r="H191" s="1">
        <v>15</v>
      </c>
      <c r="I191" s="10">
        <f>detail_avancement!B191</f>
        <v>0</v>
      </c>
      <c r="J191" s="10">
        <f t="shared" si="0"/>
        <v>15</v>
      </c>
      <c r="K191" s="13">
        <f t="shared" si="1"/>
        <v>0</v>
      </c>
      <c r="L191" s="14">
        <f t="shared" si="2"/>
        <v>0</v>
      </c>
    </row>
    <row r="192" spans="1:12" ht="15.75" customHeight="1">
      <c r="A192" s="8">
        <v>191</v>
      </c>
      <c r="B192" s="8" t="s">
        <v>234</v>
      </c>
      <c r="C192" s="1" t="s">
        <v>235</v>
      </c>
      <c r="D192" s="1" t="s">
        <v>253</v>
      </c>
      <c r="E192" s="1" t="s">
        <v>254</v>
      </c>
      <c r="F192" s="1" t="s">
        <v>227</v>
      </c>
      <c r="G192" s="8" t="s">
        <v>0</v>
      </c>
      <c r="H192" s="1">
        <v>30</v>
      </c>
      <c r="I192" s="10">
        <f>detail_avancement!B192</f>
        <v>0</v>
      </c>
      <c r="J192" s="10">
        <f t="shared" si="0"/>
        <v>30</v>
      </c>
      <c r="K192" s="13">
        <f t="shared" si="1"/>
        <v>0</v>
      </c>
      <c r="L192" s="14">
        <f t="shared" si="2"/>
        <v>0</v>
      </c>
    </row>
    <row r="193" spans="1:12" ht="15.75" customHeight="1">
      <c r="A193" s="8">
        <v>192</v>
      </c>
      <c r="B193" s="8" t="s">
        <v>234</v>
      </c>
      <c r="C193" s="1" t="s">
        <v>235</v>
      </c>
      <c r="D193" s="1" t="s">
        <v>253</v>
      </c>
      <c r="E193" s="1" t="s">
        <v>255</v>
      </c>
      <c r="F193" s="1" t="s">
        <v>227</v>
      </c>
      <c r="G193" s="8" t="s">
        <v>0</v>
      </c>
      <c r="H193" s="1">
        <v>15</v>
      </c>
      <c r="I193" s="10">
        <f>detail_avancement!B193</f>
        <v>0</v>
      </c>
      <c r="J193" s="10">
        <f t="shared" si="0"/>
        <v>15</v>
      </c>
      <c r="K193" s="13">
        <f t="shared" si="1"/>
        <v>0</v>
      </c>
      <c r="L193" s="14">
        <f t="shared" si="2"/>
        <v>0</v>
      </c>
    </row>
    <row r="194" spans="1:12" ht="15.75" customHeight="1">
      <c r="A194" s="8">
        <v>193</v>
      </c>
      <c r="B194" s="8" t="s">
        <v>234</v>
      </c>
      <c r="C194" s="1" t="s">
        <v>235</v>
      </c>
      <c r="D194" s="1" t="s">
        <v>253</v>
      </c>
      <c r="E194" s="1" t="s">
        <v>256</v>
      </c>
      <c r="F194" s="1" t="s">
        <v>227</v>
      </c>
      <c r="G194" s="8" t="s">
        <v>0</v>
      </c>
      <c r="H194" s="1">
        <v>30</v>
      </c>
      <c r="I194" s="10">
        <f>detail_avancement!B194</f>
        <v>0</v>
      </c>
      <c r="J194" s="10">
        <f t="shared" si="0"/>
        <v>30</v>
      </c>
      <c r="K194" s="13">
        <f t="shared" si="1"/>
        <v>0</v>
      </c>
      <c r="L194" s="14">
        <f t="shared" si="2"/>
        <v>0</v>
      </c>
    </row>
    <row r="195" spans="1:12" ht="15.75" customHeight="1">
      <c r="A195" s="8">
        <v>194</v>
      </c>
      <c r="B195" s="8" t="s">
        <v>234</v>
      </c>
      <c r="C195" s="1" t="s">
        <v>235</v>
      </c>
      <c r="D195" s="1" t="s">
        <v>253</v>
      </c>
      <c r="E195" s="1" t="s">
        <v>257</v>
      </c>
      <c r="F195" s="1" t="s">
        <v>227</v>
      </c>
      <c r="G195" s="8" t="s">
        <v>0</v>
      </c>
      <c r="H195" s="1">
        <v>15</v>
      </c>
      <c r="I195" s="10">
        <f>detail_avancement!B195</f>
        <v>0</v>
      </c>
      <c r="J195" s="10">
        <f t="shared" si="0"/>
        <v>15</v>
      </c>
      <c r="K195" s="13">
        <f t="shared" si="1"/>
        <v>0</v>
      </c>
      <c r="L195" s="14">
        <f t="shared" si="2"/>
        <v>0</v>
      </c>
    </row>
    <row r="196" spans="1:12" ht="15.75" customHeight="1">
      <c r="A196" s="8">
        <v>195</v>
      </c>
      <c r="B196" s="8" t="s">
        <v>234</v>
      </c>
      <c r="C196" s="1" t="s">
        <v>235</v>
      </c>
      <c r="D196" s="1" t="s">
        <v>253</v>
      </c>
      <c r="E196" s="1" t="s">
        <v>258</v>
      </c>
      <c r="F196" s="1" t="s">
        <v>227</v>
      </c>
      <c r="G196" s="8" t="s">
        <v>0</v>
      </c>
      <c r="H196" s="1">
        <v>30</v>
      </c>
      <c r="I196" s="10">
        <f>detail_avancement!B196</f>
        <v>0</v>
      </c>
      <c r="J196" s="10">
        <f t="shared" si="0"/>
        <v>30</v>
      </c>
      <c r="K196" s="13">
        <f t="shared" si="1"/>
        <v>0</v>
      </c>
      <c r="L196" s="14">
        <f t="shared" si="2"/>
        <v>0</v>
      </c>
    </row>
    <row r="197" spans="1:12" ht="15.75" customHeight="1">
      <c r="A197" s="8">
        <v>196</v>
      </c>
      <c r="B197" s="8" t="s">
        <v>234</v>
      </c>
      <c r="C197" s="1" t="s">
        <v>235</v>
      </c>
      <c r="D197" s="1" t="s">
        <v>259</v>
      </c>
      <c r="E197" s="1" t="s">
        <v>260</v>
      </c>
      <c r="F197" s="1" t="s">
        <v>213</v>
      </c>
      <c r="G197" s="8" t="s">
        <v>0</v>
      </c>
      <c r="H197" s="1">
        <v>30</v>
      </c>
      <c r="I197" s="10">
        <f>detail_avancement!B197</f>
        <v>0</v>
      </c>
      <c r="J197" s="10">
        <f t="shared" si="0"/>
        <v>30</v>
      </c>
      <c r="K197" s="13">
        <f t="shared" si="1"/>
        <v>0</v>
      </c>
      <c r="L197" s="14">
        <f t="shared" si="2"/>
        <v>0</v>
      </c>
    </row>
    <row r="198" spans="1:12" ht="15.75" customHeight="1">
      <c r="A198" s="8">
        <v>197</v>
      </c>
      <c r="B198" s="8" t="s">
        <v>234</v>
      </c>
      <c r="C198" s="1" t="s">
        <v>235</v>
      </c>
      <c r="D198" s="1" t="s">
        <v>259</v>
      </c>
      <c r="E198" s="1" t="s">
        <v>261</v>
      </c>
      <c r="F198" s="1" t="s">
        <v>213</v>
      </c>
      <c r="G198" s="8" t="s">
        <v>0</v>
      </c>
      <c r="H198" s="1">
        <v>15</v>
      </c>
      <c r="I198" s="10">
        <f>detail_avancement!B198</f>
        <v>0</v>
      </c>
      <c r="J198" s="10">
        <f t="shared" si="0"/>
        <v>15</v>
      </c>
      <c r="K198" s="13">
        <f t="shared" si="1"/>
        <v>0</v>
      </c>
      <c r="L198" s="14">
        <f t="shared" si="2"/>
        <v>0</v>
      </c>
    </row>
    <row r="199" spans="1:12" ht="15.75" customHeight="1">
      <c r="A199" s="8">
        <v>198</v>
      </c>
      <c r="B199" s="8" t="s">
        <v>234</v>
      </c>
      <c r="C199" s="1" t="s">
        <v>235</v>
      </c>
      <c r="D199" s="1" t="s">
        <v>259</v>
      </c>
      <c r="E199" s="1" t="s">
        <v>262</v>
      </c>
      <c r="F199" s="1" t="s">
        <v>213</v>
      </c>
      <c r="G199" s="8" t="s">
        <v>0</v>
      </c>
      <c r="H199" s="1">
        <v>15</v>
      </c>
      <c r="I199" s="10">
        <f>detail_avancement!B199</f>
        <v>0</v>
      </c>
      <c r="J199" s="10">
        <f t="shared" si="0"/>
        <v>15</v>
      </c>
      <c r="K199" s="13">
        <f t="shared" si="1"/>
        <v>0</v>
      </c>
      <c r="L199" s="14">
        <f t="shared" si="2"/>
        <v>0</v>
      </c>
    </row>
    <row r="200" spans="1:12" ht="15.75" customHeight="1">
      <c r="A200" s="8">
        <v>199</v>
      </c>
      <c r="B200" s="8" t="s">
        <v>234</v>
      </c>
      <c r="C200" s="1" t="s">
        <v>235</v>
      </c>
      <c r="D200" s="1" t="s">
        <v>263</v>
      </c>
      <c r="E200" s="1" t="s">
        <v>264</v>
      </c>
      <c r="F200" s="1" t="s">
        <v>213</v>
      </c>
      <c r="G200" s="8" t="s">
        <v>0</v>
      </c>
      <c r="H200" s="1">
        <v>30</v>
      </c>
      <c r="I200" s="10">
        <f>detail_avancement!B200</f>
        <v>0</v>
      </c>
      <c r="J200" s="10">
        <f t="shared" si="0"/>
        <v>30</v>
      </c>
      <c r="K200" s="13">
        <f t="shared" si="1"/>
        <v>0</v>
      </c>
      <c r="L200" s="14">
        <f t="shared" si="2"/>
        <v>0</v>
      </c>
    </row>
    <row r="201" spans="1:12" ht="15.75" customHeight="1">
      <c r="A201" s="8">
        <v>200</v>
      </c>
      <c r="B201" s="8" t="s">
        <v>234</v>
      </c>
      <c r="C201" s="1" t="s">
        <v>235</v>
      </c>
      <c r="D201" s="1" t="s">
        <v>263</v>
      </c>
      <c r="E201" s="1" t="s">
        <v>265</v>
      </c>
      <c r="F201" s="1" t="s">
        <v>213</v>
      </c>
      <c r="G201" s="8" t="s">
        <v>0</v>
      </c>
      <c r="H201" s="1">
        <v>30</v>
      </c>
      <c r="I201" s="10">
        <f>detail_avancement!B201</f>
        <v>0</v>
      </c>
      <c r="J201" s="10">
        <f t="shared" si="0"/>
        <v>30</v>
      </c>
      <c r="K201" s="13">
        <f t="shared" si="1"/>
        <v>0</v>
      </c>
      <c r="L201" s="14">
        <f t="shared" si="2"/>
        <v>0</v>
      </c>
    </row>
    <row r="202" spans="1:12" ht="15.75" customHeight="1">
      <c r="A202" s="8">
        <v>201</v>
      </c>
      <c r="B202" s="8" t="s">
        <v>234</v>
      </c>
      <c r="C202" s="1" t="s">
        <v>235</v>
      </c>
      <c r="D202" s="1" t="s">
        <v>253</v>
      </c>
      <c r="E202" s="1" t="s">
        <v>266</v>
      </c>
      <c r="F202" s="1" t="s">
        <v>267</v>
      </c>
      <c r="G202" s="8" t="s">
        <v>0</v>
      </c>
      <c r="H202" s="1">
        <v>15</v>
      </c>
      <c r="I202" s="10">
        <f>detail_avancement!B202</f>
        <v>0</v>
      </c>
      <c r="J202" s="10">
        <f t="shared" si="0"/>
        <v>15</v>
      </c>
      <c r="K202" s="13">
        <f t="shared" si="1"/>
        <v>0</v>
      </c>
      <c r="L202" s="14">
        <f t="shared" si="2"/>
        <v>0</v>
      </c>
    </row>
    <row r="203" spans="1:12" ht="15.75" customHeight="1">
      <c r="A203" s="8">
        <v>202</v>
      </c>
      <c r="B203" s="8" t="s">
        <v>234</v>
      </c>
      <c r="C203" s="1" t="s">
        <v>235</v>
      </c>
      <c r="D203" s="1" t="s">
        <v>253</v>
      </c>
      <c r="E203" s="1" t="s">
        <v>268</v>
      </c>
      <c r="F203" s="1" t="s">
        <v>267</v>
      </c>
      <c r="G203" s="8" t="s">
        <v>0</v>
      </c>
      <c r="H203" s="1">
        <v>15</v>
      </c>
      <c r="I203" s="10">
        <f>detail_avancement!B203</f>
        <v>0</v>
      </c>
      <c r="J203" s="10">
        <f t="shared" si="0"/>
        <v>15</v>
      </c>
      <c r="K203" s="13">
        <f t="shared" si="1"/>
        <v>0</v>
      </c>
      <c r="L203" s="14">
        <f t="shared" si="2"/>
        <v>0</v>
      </c>
    </row>
    <row r="204" spans="1:12" ht="15.75" customHeight="1">
      <c r="A204" s="8">
        <v>203</v>
      </c>
      <c r="B204" s="8" t="s">
        <v>269</v>
      </c>
      <c r="C204" s="1" t="s">
        <v>270</v>
      </c>
      <c r="D204" s="1" t="s">
        <v>271</v>
      </c>
      <c r="E204" s="1" t="s">
        <v>272</v>
      </c>
      <c r="F204" s="1" t="s">
        <v>213</v>
      </c>
      <c r="G204" s="8" t="s">
        <v>0</v>
      </c>
      <c r="H204" s="1">
        <v>30</v>
      </c>
      <c r="I204" s="10">
        <f>detail_avancement!B204</f>
        <v>0</v>
      </c>
      <c r="J204" s="10">
        <f t="shared" si="0"/>
        <v>30</v>
      </c>
      <c r="K204" s="13">
        <f t="shared" si="1"/>
        <v>0</v>
      </c>
      <c r="L204" s="14">
        <f t="shared" si="2"/>
        <v>0</v>
      </c>
    </row>
    <row r="205" spans="1:12" ht="15.75" customHeight="1">
      <c r="A205" s="8">
        <v>204</v>
      </c>
      <c r="B205" s="8" t="s">
        <v>269</v>
      </c>
      <c r="C205" s="1" t="s">
        <v>270</v>
      </c>
      <c r="D205" s="1" t="s">
        <v>271</v>
      </c>
      <c r="E205" s="1" t="s">
        <v>273</v>
      </c>
      <c r="F205" s="1" t="s">
        <v>213</v>
      </c>
      <c r="G205" s="8" t="s">
        <v>0</v>
      </c>
      <c r="H205" s="1">
        <v>30</v>
      </c>
      <c r="I205" s="10">
        <f>detail_avancement!B205</f>
        <v>0</v>
      </c>
      <c r="J205" s="10">
        <f t="shared" si="0"/>
        <v>30</v>
      </c>
      <c r="K205" s="13">
        <f t="shared" si="1"/>
        <v>0</v>
      </c>
      <c r="L205" s="14">
        <f t="shared" si="2"/>
        <v>0</v>
      </c>
    </row>
    <row r="206" spans="1:12" ht="15.75" customHeight="1">
      <c r="A206" s="8">
        <v>205</v>
      </c>
      <c r="B206" s="8" t="s">
        <v>269</v>
      </c>
      <c r="C206" s="1" t="s">
        <v>270</v>
      </c>
      <c r="D206" s="1" t="s">
        <v>271</v>
      </c>
      <c r="E206" s="1" t="s">
        <v>274</v>
      </c>
      <c r="F206" s="1" t="s">
        <v>213</v>
      </c>
      <c r="G206" s="8" t="s">
        <v>0</v>
      </c>
      <c r="H206" s="1">
        <v>30</v>
      </c>
      <c r="I206" s="10">
        <f>detail_avancement!B206</f>
        <v>0</v>
      </c>
      <c r="J206" s="10">
        <f t="shared" si="0"/>
        <v>30</v>
      </c>
      <c r="K206" s="13">
        <f t="shared" si="1"/>
        <v>0</v>
      </c>
      <c r="L206" s="14">
        <f t="shared" si="2"/>
        <v>0</v>
      </c>
    </row>
    <row r="207" spans="1:12" ht="15.75" customHeight="1">
      <c r="A207" s="8">
        <v>206</v>
      </c>
      <c r="B207" s="8" t="s">
        <v>269</v>
      </c>
      <c r="C207" s="1" t="s">
        <v>270</v>
      </c>
      <c r="D207" s="1" t="s">
        <v>271</v>
      </c>
      <c r="E207" s="1" t="s">
        <v>275</v>
      </c>
      <c r="F207" s="1" t="s">
        <v>213</v>
      </c>
      <c r="G207" s="8" t="s">
        <v>0</v>
      </c>
      <c r="H207" s="1">
        <v>30</v>
      </c>
      <c r="I207" s="10">
        <f>detail_avancement!B207</f>
        <v>0</v>
      </c>
      <c r="J207" s="10">
        <f t="shared" si="0"/>
        <v>30</v>
      </c>
      <c r="K207" s="13">
        <f t="shared" si="1"/>
        <v>0</v>
      </c>
      <c r="L207" s="14">
        <f t="shared" si="2"/>
        <v>0</v>
      </c>
    </row>
    <row r="208" spans="1:12" ht="15.75" customHeight="1">
      <c r="A208" s="8">
        <v>207</v>
      </c>
      <c r="B208" s="8" t="s">
        <v>269</v>
      </c>
      <c r="C208" s="1" t="s">
        <v>270</v>
      </c>
      <c r="D208" s="1" t="s">
        <v>276</v>
      </c>
      <c r="E208" s="1" t="s">
        <v>277</v>
      </c>
      <c r="F208" s="1" t="s">
        <v>213</v>
      </c>
      <c r="G208" s="8" t="s">
        <v>0</v>
      </c>
      <c r="H208" s="1">
        <v>30</v>
      </c>
      <c r="I208" s="10">
        <f>detail_avancement!B208</f>
        <v>0</v>
      </c>
      <c r="J208" s="10">
        <f t="shared" si="0"/>
        <v>30</v>
      </c>
      <c r="K208" s="13">
        <f t="shared" si="1"/>
        <v>0</v>
      </c>
      <c r="L208" s="14">
        <f t="shared" si="2"/>
        <v>0</v>
      </c>
    </row>
    <row r="209" spans="1:12" ht="15.75" customHeight="1">
      <c r="A209" s="8">
        <v>208</v>
      </c>
      <c r="B209" s="8" t="s">
        <v>269</v>
      </c>
      <c r="C209" s="1" t="s">
        <v>270</v>
      </c>
      <c r="D209" s="1" t="s">
        <v>276</v>
      </c>
      <c r="E209" s="1" t="s">
        <v>278</v>
      </c>
      <c r="F209" s="1" t="s">
        <v>213</v>
      </c>
      <c r="G209" s="8" t="s">
        <v>0</v>
      </c>
      <c r="H209" s="1">
        <v>30</v>
      </c>
      <c r="I209" s="10">
        <f>detail_avancement!B209</f>
        <v>0</v>
      </c>
      <c r="J209" s="10">
        <f t="shared" si="0"/>
        <v>30</v>
      </c>
      <c r="K209" s="13">
        <f t="shared" si="1"/>
        <v>0</v>
      </c>
      <c r="L209" s="14">
        <f t="shared" si="2"/>
        <v>0</v>
      </c>
    </row>
    <row r="210" spans="1:12" ht="15.75" customHeight="1">
      <c r="A210" s="8">
        <v>209</v>
      </c>
      <c r="B210" s="8" t="s">
        <v>269</v>
      </c>
      <c r="C210" s="1" t="s">
        <v>270</v>
      </c>
      <c r="D210" s="1" t="s">
        <v>276</v>
      </c>
      <c r="E210" s="1" t="s">
        <v>279</v>
      </c>
      <c r="F210" s="1" t="s">
        <v>213</v>
      </c>
      <c r="G210" s="8" t="s">
        <v>0</v>
      </c>
      <c r="H210" s="1">
        <v>30</v>
      </c>
      <c r="I210" s="10">
        <f>detail_avancement!B210</f>
        <v>0</v>
      </c>
      <c r="J210" s="10">
        <f t="shared" si="0"/>
        <v>30</v>
      </c>
      <c r="K210" s="13">
        <f t="shared" si="1"/>
        <v>0</v>
      </c>
      <c r="L210" s="14">
        <f t="shared" si="2"/>
        <v>0</v>
      </c>
    </row>
    <row r="211" spans="1:12" ht="15.75" customHeight="1">
      <c r="A211" s="8">
        <v>210</v>
      </c>
      <c r="B211" s="8" t="s">
        <v>269</v>
      </c>
      <c r="C211" s="1" t="s">
        <v>270</v>
      </c>
      <c r="D211" s="1" t="s">
        <v>276</v>
      </c>
      <c r="E211" s="1" t="s">
        <v>280</v>
      </c>
      <c r="F211" s="1" t="s">
        <v>213</v>
      </c>
      <c r="G211" s="8" t="s">
        <v>0</v>
      </c>
      <c r="H211" s="1">
        <v>30</v>
      </c>
      <c r="I211" s="10">
        <f>detail_avancement!B211</f>
        <v>0</v>
      </c>
      <c r="J211" s="10">
        <f t="shared" si="0"/>
        <v>30</v>
      </c>
      <c r="K211" s="13">
        <f t="shared" si="1"/>
        <v>0</v>
      </c>
      <c r="L211" s="14">
        <f t="shared" si="2"/>
        <v>0</v>
      </c>
    </row>
    <row r="212" spans="1:12" ht="15.75" customHeight="1">
      <c r="A212" s="8">
        <v>211</v>
      </c>
      <c r="B212" s="8" t="s">
        <v>269</v>
      </c>
      <c r="C212" s="1" t="s">
        <v>270</v>
      </c>
      <c r="D212" s="1" t="s">
        <v>276</v>
      </c>
      <c r="E212" s="1" t="s">
        <v>281</v>
      </c>
      <c r="F212" s="1" t="s">
        <v>213</v>
      </c>
      <c r="G212" s="8" t="s">
        <v>0</v>
      </c>
      <c r="H212" s="1">
        <v>30</v>
      </c>
      <c r="I212" s="10">
        <f>detail_avancement!B212</f>
        <v>0</v>
      </c>
      <c r="J212" s="10">
        <f t="shared" si="0"/>
        <v>30</v>
      </c>
      <c r="K212" s="13">
        <f t="shared" si="1"/>
        <v>0</v>
      </c>
      <c r="L212" s="14">
        <f t="shared" si="2"/>
        <v>0</v>
      </c>
    </row>
    <row r="213" spans="1:12" ht="15.75" customHeight="1">
      <c r="A213" s="8">
        <v>212</v>
      </c>
      <c r="B213" s="8" t="s">
        <v>269</v>
      </c>
      <c r="C213" s="1" t="s">
        <v>270</v>
      </c>
      <c r="D213" s="1" t="s">
        <v>276</v>
      </c>
      <c r="E213" s="1" t="s">
        <v>282</v>
      </c>
      <c r="F213" s="1" t="s">
        <v>213</v>
      </c>
      <c r="G213" s="8" t="s">
        <v>0</v>
      </c>
      <c r="H213" s="1">
        <v>30</v>
      </c>
      <c r="I213" s="10">
        <f>detail_avancement!B213</f>
        <v>0</v>
      </c>
      <c r="J213" s="10">
        <f t="shared" si="0"/>
        <v>30</v>
      </c>
      <c r="K213" s="13">
        <f t="shared" si="1"/>
        <v>0</v>
      </c>
      <c r="L213" s="14">
        <f t="shared" si="2"/>
        <v>0</v>
      </c>
    </row>
    <row r="214" spans="1:12" ht="15.75" customHeight="1">
      <c r="A214" s="8">
        <v>213</v>
      </c>
      <c r="B214" s="8" t="s">
        <v>269</v>
      </c>
      <c r="C214" s="1" t="s">
        <v>270</v>
      </c>
      <c r="D214" s="1" t="s">
        <v>283</v>
      </c>
      <c r="E214" s="1" t="s">
        <v>284</v>
      </c>
      <c r="F214" s="1" t="s">
        <v>227</v>
      </c>
      <c r="G214" s="8" t="s">
        <v>0</v>
      </c>
      <c r="H214" s="1">
        <v>15</v>
      </c>
      <c r="I214" s="10">
        <f>detail_avancement!B214</f>
        <v>0</v>
      </c>
      <c r="J214" s="10">
        <f t="shared" si="0"/>
        <v>15</v>
      </c>
      <c r="K214" s="13">
        <f t="shared" si="1"/>
        <v>0</v>
      </c>
      <c r="L214" s="14">
        <f t="shared" si="2"/>
        <v>0</v>
      </c>
    </row>
    <row r="215" spans="1:12" ht="15.75" customHeight="1">
      <c r="A215" s="8">
        <v>214</v>
      </c>
      <c r="B215" s="8" t="s">
        <v>269</v>
      </c>
      <c r="C215" s="1" t="s">
        <v>270</v>
      </c>
      <c r="D215" s="1" t="s">
        <v>283</v>
      </c>
      <c r="E215" s="1" t="s">
        <v>285</v>
      </c>
      <c r="F215" s="1" t="s">
        <v>227</v>
      </c>
      <c r="G215" s="8" t="s">
        <v>0</v>
      </c>
      <c r="H215" s="1">
        <v>15</v>
      </c>
      <c r="I215" s="10">
        <f>detail_avancement!B215</f>
        <v>0</v>
      </c>
      <c r="J215" s="10">
        <f t="shared" si="0"/>
        <v>15</v>
      </c>
      <c r="K215" s="13">
        <f t="shared" si="1"/>
        <v>0</v>
      </c>
      <c r="L215" s="14">
        <f t="shared" si="2"/>
        <v>0</v>
      </c>
    </row>
    <row r="216" spans="1:12" ht="15.75" customHeight="1">
      <c r="A216" s="8">
        <v>215</v>
      </c>
      <c r="B216" s="8" t="s">
        <v>269</v>
      </c>
      <c r="C216" s="1" t="s">
        <v>270</v>
      </c>
      <c r="D216" s="1" t="s">
        <v>283</v>
      </c>
      <c r="E216" s="1" t="s">
        <v>286</v>
      </c>
      <c r="F216" s="1" t="s">
        <v>227</v>
      </c>
      <c r="G216" s="8" t="s">
        <v>0</v>
      </c>
      <c r="H216" s="1">
        <v>30</v>
      </c>
      <c r="I216" s="10">
        <f>detail_avancement!B216</f>
        <v>0</v>
      </c>
      <c r="J216" s="10">
        <f t="shared" si="0"/>
        <v>30</v>
      </c>
      <c r="K216" s="13">
        <f t="shared" si="1"/>
        <v>0</v>
      </c>
      <c r="L216" s="14">
        <f t="shared" si="2"/>
        <v>0</v>
      </c>
    </row>
    <row r="217" spans="1:12" ht="15.75" customHeight="1">
      <c r="A217" s="8">
        <v>216</v>
      </c>
      <c r="B217" s="8" t="s">
        <v>269</v>
      </c>
      <c r="C217" s="1" t="s">
        <v>270</v>
      </c>
      <c r="D217" s="1" t="s">
        <v>283</v>
      </c>
      <c r="E217" s="1" t="s">
        <v>287</v>
      </c>
      <c r="F217" s="1" t="s">
        <v>267</v>
      </c>
      <c r="G217" s="8" t="s">
        <v>0</v>
      </c>
      <c r="H217" s="1">
        <v>15</v>
      </c>
      <c r="I217" s="10">
        <f>detail_avancement!B217</f>
        <v>0</v>
      </c>
      <c r="J217" s="10">
        <f t="shared" si="0"/>
        <v>15</v>
      </c>
      <c r="K217" s="13">
        <f t="shared" si="1"/>
        <v>0</v>
      </c>
      <c r="L217" s="14">
        <f t="shared" si="2"/>
        <v>0</v>
      </c>
    </row>
    <row r="218" spans="1:12" ht="15.75" customHeight="1">
      <c r="A218" s="8">
        <v>217</v>
      </c>
      <c r="B218" s="8" t="s">
        <v>269</v>
      </c>
      <c r="C218" s="1" t="s">
        <v>270</v>
      </c>
      <c r="D218" s="1" t="s">
        <v>283</v>
      </c>
      <c r="E218" s="1" t="s">
        <v>288</v>
      </c>
      <c r="F218" s="1" t="s">
        <v>267</v>
      </c>
      <c r="G218" s="8" t="s">
        <v>0</v>
      </c>
      <c r="H218" s="1">
        <v>15</v>
      </c>
      <c r="I218" s="10">
        <f>detail_avancement!B218</f>
        <v>0</v>
      </c>
      <c r="J218" s="10">
        <f t="shared" si="0"/>
        <v>15</v>
      </c>
      <c r="K218" s="13">
        <f t="shared" si="1"/>
        <v>0</v>
      </c>
      <c r="L218" s="14">
        <f t="shared" si="2"/>
        <v>0</v>
      </c>
    </row>
    <row r="219" spans="1:12" ht="15.75" customHeight="1">
      <c r="A219" s="8">
        <v>218</v>
      </c>
      <c r="B219" s="8" t="s">
        <v>234</v>
      </c>
      <c r="C219" s="1" t="s">
        <v>289</v>
      </c>
      <c r="D219" s="1" t="s">
        <v>290</v>
      </c>
      <c r="E219" s="1" t="s">
        <v>291</v>
      </c>
      <c r="F219" s="1" t="s">
        <v>227</v>
      </c>
      <c r="G219" s="8" t="s">
        <v>0</v>
      </c>
      <c r="H219" s="1">
        <v>30</v>
      </c>
      <c r="I219" s="10">
        <f>detail_avancement!B219</f>
        <v>0</v>
      </c>
      <c r="J219" s="10">
        <f t="shared" si="0"/>
        <v>30</v>
      </c>
      <c r="K219" s="13">
        <f t="shared" si="1"/>
        <v>0</v>
      </c>
      <c r="L219" s="14">
        <f t="shared" si="2"/>
        <v>0</v>
      </c>
    </row>
    <row r="220" spans="1:12" ht="15.75" customHeight="1">
      <c r="A220" s="8">
        <v>219</v>
      </c>
      <c r="B220" s="8" t="s">
        <v>234</v>
      </c>
      <c r="C220" s="1" t="s">
        <v>289</v>
      </c>
      <c r="D220" s="1" t="s">
        <v>290</v>
      </c>
      <c r="E220" s="1" t="s">
        <v>292</v>
      </c>
      <c r="F220" s="1" t="s">
        <v>227</v>
      </c>
      <c r="G220" s="8" t="s">
        <v>0</v>
      </c>
      <c r="H220" s="1">
        <v>30</v>
      </c>
      <c r="I220" s="10">
        <f>detail_avancement!B220</f>
        <v>0</v>
      </c>
      <c r="J220" s="10">
        <f t="shared" si="0"/>
        <v>30</v>
      </c>
      <c r="K220" s="13">
        <f t="shared" si="1"/>
        <v>0</v>
      </c>
      <c r="L220" s="14">
        <f t="shared" si="2"/>
        <v>0</v>
      </c>
    </row>
    <row r="221" spans="1:12" ht="15.75" customHeight="1">
      <c r="A221" s="8">
        <v>220</v>
      </c>
      <c r="B221" s="8" t="s">
        <v>234</v>
      </c>
      <c r="C221" s="1" t="s">
        <v>289</v>
      </c>
      <c r="D221" s="1" t="s">
        <v>290</v>
      </c>
      <c r="E221" s="1" t="s">
        <v>293</v>
      </c>
      <c r="F221" s="1" t="s">
        <v>227</v>
      </c>
      <c r="G221" s="8" t="s">
        <v>0</v>
      </c>
      <c r="H221" s="1">
        <v>30</v>
      </c>
      <c r="I221" s="10">
        <f>detail_avancement!B221</f>
        <v>0</v>
      </c>
      <c r="J221" s="10">
        <f t="shared" si="0"/>
        <v>30</v>
      </c>
      <c r="K221" s="13">
        <f t="shared" si="1"/>
        <v>0</v>
      </c>
      <c r="L221" s="14">
        <f t="shared" si="2"/>
        <v>0</v>
      </c>
    </row>
    <row r="222" spans="1:12" ht="15.75" customHeight="1">
      <c r="A222" s="8">
        <v>221</v>
      </c>
      <c r="B222" s="8" t="s">
        <v>234</v>
      </c>
      <c r="C222" s="1" t="s">
        <v>289</v>
      </c>
      <c r="D222" s="1" t="s">
        <v>294</v>
      </c>
      <c r="E222" s="1" t="s">
        <v>295</v>
      </c>
      <c r="F222" s="1" t="s">
        <v>213</v>
      </c>
      <c r="G222" s="8" t="s">
        <v>0</v>
      </c>
      <c r="H222" s="1">
        <v>30</v>
      </c>
      <c r="I222" s="10">
        <f>detail_avancement!B222</f>
        <v>0</v>
      </c>
      <c r="J222" s="10">
        <f t="shared" si="0"/>
        <v>30</v>
      </c>
      <c r="K222" s="13">
        <f t="shared" si="1"/>
        <v>0</v>
      </c>
      <c r="L222" s="14">
        <f t="shared" si="2"/>
        <v>0</v>
      </c>
    </row>
    <row r="223" spans="1:12" ht="15.75" customHeight="1">
      <c r="A223" s="8">
        <v>222</v>
      </c>
      <c r="B223" s="8" t="s">
        <v>234</v>
      </c>
      <c r="C223" s="1" t="s">
        <v>289</v>
      </c>
      <c r="D223" s="1" t="s">
        <v>294</v>
      </c>
      <c r="E223" s="1" t="s">
        <v>296</v>
      </c>
      <c r="F223" s="1" t="s">
        <v>213</v>
      </c>
      <c r="G223" s="8" t="s">
        <v>0</v>
      </c>
      <c r="H223" s="1">
        <v>30</v>
      </c>
      <c r="I223" s="10">
        <f>detail_avancement!B223</f>
        <v>0</v>
      </c>
      <c r="J223" s="10">
        <f t="shared" si="0"/>
        <v>30</v>
      </c>
      <c r="K223" s="13">
        <f t="shared" si="1"/>
        <v>0</v>
      </c>
      <c r="L223" s="14">
        <f t="shared" si="2"/>
        <v>0</v>
      </c>
    </row>
    <row r="224" spans="1:12" ht="15.75" customHeight="1">
      <c r="A224" s="8">
        <v>223</v>
      </c>
      <c r="B224" s="8" t="s">
        <v>234</v>
      </c>
      <c r="C224" s="1" t="s">
        <v>289</v>
      </c>
      <c r="D224" s="1" t="s">
        <v>294</v>
      </c>
      <c r="E224" s="1" t="s">
        <v>297</v>
      </c>
      <c r="F224" s="1" t="s">
        <v>213</v>
      </c>
      <c r="G224" s="8" t="s">
        <v>0</v>
      </c>
      <c r="H224" s="1">
        <v>30</v>
      </c>
      <c r="I224" s="10">
        <f>detail_avancement!B224</f>
        <v>0</v>
      </c>
      <c r="J224" s="10">
        <f t="shared" si="0"/>
        <v>30</v>
      </c>
      <c r="K224" s="13">
        <f t="shared" si="1"/>
        <v>0</v>
      </c>
      <c r="L224" s="14">
        <f t="shared" si="2"/>
        <v>0</v>
      </c>
    </row>
    <row r="225" spans="1:12" ht="15.75" customHeight="1">
      <c r="A225" s="8">
        <v>224</v>
      </c>
      <c r="B225" s="8" t="s">
        <v>234</v>
      </c>
      <c r="C225" s="1" t="s">
        <v>289</v>
      </c>
      <c r="D225" s="1" t="s">
        <v>298</v>
      </c>
      <c r="E225" s="1" t="s">
        <v>299</v>
      </c>
      <c r="F225" s="1" t="s">
        <v>227</v>
      </c>
      <c r="G225" s="8" t="s">
        <v>0</v>
      </c>
      <c r="H225" s="1">
        <v>30</v>
      </c>
      <c r="I225" s="10">
        <f>detail_avancement!B225</f>
        <v>0</v>
      </c>
      <c r="J225" s="10">
        <f t="shared" si="0"/>
        <v>30</v>
      </c>
      <c r="K225" s="13">
        <f t="shared" si="1"/>
        <v>0</v>
      </c>
      <c r="L225" s="14">
        <f t="shared" si="2"/>
        <v>0</v>
      </c>
    </row>
    <row r="226" spans="1:12" ht="15.75" customHeight="1">
      <c r="A226" s="8">
        <v>225</v>
      </c>
      <c r="B226" s="8" t="s">
        <v>234</v>
      </c>
      <c r="C226" s="1" t="s">
        <v>289</v>
      </c>
      <c r="D226" s="1" t="s">
        <v>298</v>
      </c>
      <c r="E226" s="1" t="s">
        <v>300</v>
      </c>
      <c r="F226" s="1" t="s">
        <v>227</v>
      </c>
      <c r="G226" s="8" t="s">
        <v>0</v>
      </c>
      <c r="H226" s="1">
        <v>30</v>
      </c>
      <c r="I226" s="10">
        <f>detail_avancement!B226</f>
        <v>0</v>
      </c>
      <c r="J226" s="10">
        <f t="shared" si="0"/>
        <v>30</v>
      </c>
      <c r="K226" s="13">
        <f t="shared" si="1"/>
        <v>0</v>
      </c>
      <c r="L226" s="14">
        <f t="shared" si="2"/>
        <v>0</v>
      </c>
    </row>
    <row r="227" spans="1:12" ht="15.75" customHeight="1">
      <c r="A227" s="8">
        <v>226</v>
      </c>
      <c r="B227" s="8" t="s">
        <v>234</v>
      </c>
      <c r="C227" s="1" t="s">
        <v>289</v>
      </c>
      <c r="D227" s="1" t="s">
        <v>294</v>
      </c>
      <c r="E227" s="1" t="s">
        <v>301</v>
      </c>
      <c r="F227" s="1" t="s">
        <v>213</v>
      </c>
      <c r="G227" s="8" t="s">
        <v>0</v>
      </c>
      <c r="H227" s="1">
        <v>30</v>
      </c>
      <c r="I227" s="10">
        <f>detail_avancement!B227</f>
        <v>0</v>
      </c>
      <c r="J227" s="10">
        <f t="shared" si="0"/>
        <v>30</v>
      </c>
      <c r="K227" s="13">
        <f t="shared" si="1"/>
        <v>0</v>
      </c>
      <c r="L227" s="14">
        <f t="shared" si="2"/>
        <v>0</v>
      </c>
    </row>
    <row r="228" spans="1:12" ht="15.75" customHeight="1">
      <c r="A228" s="8">
        <v>227</v>
      </c>
      <c r="B228" s="8" t="s">
        <v>234</v>
      </c>
      <c r="C228" s="1" t="s">
        <v>289</v>
      </c>
      <c r="D228" s="1" t="s">
        <v>294</v>
      </c>
      <c r="E228" s="1" t="s">
        <v>302</v>
      </c>
      <c r="F228" s="1" t="s">
        <v>213</v>
      </c>
      <c r="G228" s="8" t="s">
        <v>0</v>
      </c>
      <c r="H228" s="1">
        <v>30</v>
      </c>
      <c r="I228" s="10">
        <f>detail_avancement!B228</f>
        <v>0</v>
      </c>
      <c r="J228" s="10">
        <f t="shared" si="0"/>
        <v>30</v>
      </c>
      <c r="K228" s="13">
        <f t="shared" si="1"/>
        <v>0</v>
      </c>
      <c r="L228" s="14">
        <f t="shared" si="2"/>
        <v>0</v>
      </c>
    </row>
    <row r="229" spans="1:12" ht="15.75" customHeight="1">
      <c r="A229" s="8">
        <v>228</v>
      </c>
      <c r="B229" s="8" t="s">
        <v>269</v>
      </c>
      <c r="C229" s="1" t="s">
        <v>303</v>
      </c>
      <c r="D229" s="1" t="s">
        <v>304</v>
      </c>
      <c r="E229" s="1" t="s">
        <v>305</v>
      </c>
      <c r="F229" s="1" t="s">
        <v>227</v>
      </c>
      <c r="G229" s="8" t="s">
        <v>0</v>
      </c>
      <c r="H229" s="1">
        <v>30</v>
      </c>
      <c r="I229" s="10">
        <f>detail_avancement!B229</f>
        <v>0</v>
      </c>
      <c r="J229" s="10">
        <f t="shared" si="0"/>
        <v>30</v>
      </c>
      <c r="K229" s="13">
        <f t="shared" si="1"/>
        <v>0</v>
      </c>
      <c r="L229" s="14">
        <f t="shared" si="2"/>
        <v>0</v>
      </c>
    </row>
    <row r="230" spans="1:12" ht="15.75" customHeight="1">
      <c r="A230" s="8">
        <v>229</v>
      </c>
      <c r="B230" s="8" t="s">
        <v>269</v>
      </c>
      <c r="C230" s="1" t="s">
        <v>303</v>
      </c>
      <c r="D230" s="1" t="s">
        <v>304</v>
      </c>
      <c r="E230" s="1" t="s">
        <v>306</v>
      </c>
      <c r="F230" s="1" t="s">
        <v>227</v>
      </c>
      <c r="G230" s="8" t="s">
        <v>0</v>
      </c>
      <c r="H230" s="1">
        <v>30</v>
      </c>
      <c r="I230" s="10">
        <f>detail_avancement!B230</f>
        <v>0</v>
      </c>
      <c r="J230" s="10">
        <f t="shared" si="0"/>
        <v>30</v>
      </c>
      <c r="K230" s="13">
        <f t="shared" si="1"/>
        <v>0</v>
      </c>
      <c r="L230" s="14">
        <f t="shared" si="2"/>
        <v>0</v>
      </c>
    </row>
    <row r="231" spans="1:12" ht="15.75" customHeight="1">
      <c r="A231" s="8">
        <v>230</v>
      </c>
      <c r="B231" s="8" t="s">
        <v>269</v>
      </c>
      <c r="C231" s="1" t="s">
        <v>303</v>
      </c>
      <c r="D231" s="1" t="s">
        <v>304</v>
      </c>
      <c r="E231" s="1" t="s">
        <v>307</v>
      </c>
      <c r="F231" s="1" t="s">
        <v>227</v>
      </c>
      <c r="G231" s="8" t="s">
        <v>0</v>
      </c>
      <c r="H231" s="1">
        <v>30</v>
      </c>
      <c r="I231" s="10">
        <f>detail_avancement!B231</f>
        <v>0</v>
      </c>
      <c r="J231" s="10">
        <f t="shared" si="0"/>
        <v>30</v>
      </c>
      <c r="K231" s="13">
        <f t="shared" si="1"/>
        <v>0</v>
      </c>
      <c r="L231" s="14">
        <f t="shared" si="2"/>
        <v>0</v>
      </c>
    </row>
    <row r="232" spans="1:12" ht="15.75" customHeight="1">
      <c r="A232" s="8">
        <v>231</v>
      </c>
      <c r="B232" s="8" t="s">
        <v>269</v>
      </c>
      <c r="C232" s="1" t="s">
        <v>303</v>
      </c>
      <c r="D232" s="1" t="s">
        <v>308</v>
      </c>
      <c r="E232" s="1" t="s">
        <v>309</v>
      </c>
      <c r="F232" s="1" t="s">
        <v>213</v>
      </c>
      <c r="G232" s="8" t="s">
        <v>0</v>
      </c>
      <c r="H232" s="1">
        <v>30</v>
      </c>
      <c r="I232" s="10">
        <f>detail_avancement!B232</f>
        <v>0</v>
      </c>
      <c r="J232" s="10">
        <f t="shared" si="0"/>
        <v>30</v>
      </c>
      <c r="K232" s="13">
        <f t="shared" si="1"/>
        <v>0</v>
      </c>
      <c r="L232" s="14">
        <f t="shared" si="2"/>
        <v>0</v>
      </c>
    </row>
    <row r="233" spans="1:12" ht="15.75" customHeight="1">
      <c r="A233" s="8">
        <v>232</v>
      </c>
      <c r="B233" s="8" t="s">
        <v>269</v>
      </c>
      <c r="C233" s="1" t="s">
        <v>303</v>
      </c>
      <c r="D233" s="1" t="s">
        <v>308</v>
      </c>
      <c r="E233" s="1" t="s">
        <v>310</v>
      </c>
      <c r="F233" s="1" t="s">
        <v>213</v>
      </c>
      <c r="G233" s="8" t="s">
        <v>0</v>
      </c>
      <c r="H233" s="1">
        <v>30</v>
      </c>
      <c r="I233" s="10">
        <f>detail_avancement!B233</f>
        <v>0</v>
      </c>
      <c r="J233" s="10">
        <f t="shared" si="0"/>
        <v>30</v>
      </c>
      <c r="K233" s="13">
        <f t="shared" si="1"/>
        <v>0</v>
      </c>
      <c r="L233" s="14">
        <f t="shared" si="2"/>
        <v>0</v>
      </c>
    </row>
    <row r="234" spans="1:12" ht="15.75" customHeight="1">
      <c r="A234" s="8">
        <v>233</v>
      </c>
      <c r="B234" s="8" t="s">
        <v>269</v>
      </c>
      <c r="C234" s="1" t="s">
        <v>303</v>
      </c>
      <c r="D234" s="1" t="s">
        <v>308</v>
      </c>
      <c r="E234" s="1" t="s">
        <v>311</v>
      </c>
      <c r="F234" s="1" t="s">
        <v>213</v>
      </c>
      <c r="G234" s="8" t="s">
        <v>0</v>
      </c>
      <c r="H234" s="1">
        <v>30</v>
      </c>
      <c r="I234" s="10">
        <f>detail_avancement!B234</f>
        <v>0</v>
      </c>
      <c r="J234" s="10">
        <f t="shared" si="0"/>
        <v>30</v>
      </c>
      <c r="K234" s="13">
        <f t="shared" si="1"/>
        <v>0</v>
      </c>
      <c r="L234" s="14">
        <f t="shared" si="2"/>
        <v>0</v>
      </c>
    </row>
    <row r="235" spans="1:12" ht="15.75" customHeight="1">
      <c r="A235" s="8">
        <v>234</v>
      </c>
      <c r="B235" s="8" t="s">
        <v>269</v>
      </c>
      <c r="C235" s="1" t="s">
        <v>303</v>
      </c>
      <c r="D235" s="1" t="s">
        <v>308</v>
      </c>
      <c r="E235" s="1" t="s">
        <v>312</v>
      </c>
      <c r="F235" s="1" t="s">
        <v>213</v>
      </c>
      <c r="G235" s="8" t="s">
        <v>0</v>
      </c>
      <c r="H235" s="1">
        <v>30</v>
      </c>
      <c r="I235" s="10">
        <f>detail_avancement!B235</f>
        <v>0</v>
      </c>
      <c r="J235" s="10">
        <f t="shared" si="0"/>
        <v>30</v>
      </c>
      <c r="K235" s="13">
        <f t="shared" si="1"/>
        <v>0</v>
      </c>
      <c r="L235" s="14">
        <f t="shared" si="2"/>
        <v>0</v>
      </c>
    </row>
    <row r="236" spans="1:12" ht="15.75" customHeight="1">
      <c r="A236" s="8">
        <v>235</v>
      </c>
      <c r="B236" s="8" t="s">
        <v>269</v>
      </c>
      <c r="C236" s="1" t="s">
        <v>303</v>
      </c>
      <c r="D236" s="1" t="s">
        <v>304</v>
      </c>
      <c r="E236" s="1" t="s">
        <v>313</v>
      </c>
      <c r="F236" s="1" t="s">
        <v>267</v>
      </c>
      <c r="G236" s="8" t="s">
        <v>0</v>
      </c>
      <c r="H236" s="1">
        <v>30</v>
      </c>
      <c r="I236" s="10">
        <f>detail_avancement!B236</f>
        <v>0</v>
      </c>
      <c r="J236" s="10">
        <f t="shared" si="0"/>
        <v>30</v>
      </c>
      <c r="K236" s="13">
        <f t="shared" si="1"/>
        <v>0</v>
      </c>
      <c r="L236" s="14">
        <f t="shared" si="2"/>
        <v>0</v>
      </c>
    </row>
    <row r="237" spans="1:12" ht="15.75" customHeight="1">
      <c r="A237" s="8">
        <v>236</v>
      </c>
      <c r="B237" s="8" t="s">
        <v>269</v>
      </c>
      <c r="C237" s="1" t="s">
        <v>303</v>
      </c>
      <c r="D237" s="1" t="s">
        <v>304</v>
      </c>
      <c r="E237" s="1" t="s">
        <v>314</v>
      </c>
      <c r="F237" s="1" t="s">
        <v>267</v>
      </c>
      <c r="G237" s="8" t="s">
        <v>0</v>
      </c>
      <c r="H237" s="1">
        <v>30</v>
      </c>
      <c r="I237" s="10">
        <f>detail_avancement!B237</f>
        <v>0</v>
      </c>
      <c r="J237" s="10">
        <f t="shared" si="0"/>
        <v>30</v>
      </c>
      <c r="K237" s="13">
        <f t="shared" si="1"/>
        <v>0</v>
      </c>
      <c r="L237" s="14">
        <f t="shared" si="2"/>
        <v>0</v>
      </c>
    </row>
    <row r="238" spans="1:12" ht="15.75" customHeight="1">
      <c r="A238" s="8">
        <v>237</v>
      </c>
      <c r="B238" s="8" t="s">
        <v>269</v>
      </c>
      <c r="C238" s="1" t="s">
        <v>303</v>
      </c>
      <c r="D238" s="1" t="s">
        <v>304</v>
      </c>
      <c r="E238" s="1" t="s">
        <v>315</v>
      </c>
      <c r="F238" s="1" t="s">
        <v>267</v>
      </c>
      <c r="G238" s="8" t="s">
        <v>0</v>
      </c>
      <c r="H238" s="1">
        <v>30</v>
      </c>
      <c r="I238" s="10">
        <f>detail_avancement!B238</f>
        <v>0</v>
      </c>
      <c r="J238" s="10">
        <f t="shared" si="0"/>
        <v>30</v>
      </c>
      <c r="K238" s="13">
        <f t="shared" si="1"/>
        <v>0</v>
      </c>
      <c r="L238" s="14">
        <f t="shared" si="2"/>
        <v>0</v>
      </c>
    </row>
    <row r="239" spans="1:12" ht="15.75" customHeight="1">
      <c r="A239" s="8">
        <v>238</v>
      </c>
      <c r="B239" s="8" t="s">
        <v>234</v>
      </c>
      <c r="C239" s="1" t="s">
        <v>316</v>
      </c>
      <c r="D239" s="1" t="s">
        <v>317</v>
      </c>
      <c r="E239" s="1" t="s">
        <v>318</v>
      </c>
      <c r="F239" s="1" t="s">
        <v>227</v>
      </c>
      <c r="G239" s="8" t="s">
        <v>0</v>
      </c>
      <c r="H239" s="1">
        <v>30</v>
      </c>
      <c r="I239" s="10">
        <f>detail_avancement!B239</f>
        <v>0</v>
      </c>
      <c r="J239" s="10">
        <f t="shared" si="0"/>
        <v>30</v>
      </c>
      <c r="K239" s="13">
        <f t="shared" si="1"/>
        <v>0</v>
      </c>
      <c r="L239" s="14">
        <f t="shared" si="2"/>
        <v>0</v>
      </c>
    </row>
    <row r="240" spans="1:12" ht="15.75" customHeight="1">
      <c r="A240" s="8">
        <v>239</v>
      </c>
      <c r="B240" s="8" t="s">
        <v>234</v>
      </c>
      <c r="C240" s="1" t="s">
        <v>316</v>
      </c>
      <c r="D240" s="1" t="s">
        <v>317</v>
      </c>
      <c r="E240" s="1" t="s">
        <v>319</v>
      </c>
      <c r="F240" s="1" t="s">
        <v>227</v>
      </c>
      <c r="G240" s="8" t="s">
        <v>0</v>
      </c>
      <c r="H240" s="1">
        <v>30</v>
      </c>
      <c r="I240" s="10">
        <f>detail_avancement!B240</f>
        <v>0</v>
      </c>
      <c r="J240" s="10">
        <f t="shared" si="0"/>
        <v>30</v>
      </c>
      <c r="K240" s="13">
        <f t="shared" si="1"/>
        <v>0</v>
      </c>
      <c r="L240" s="14">
        <f t="shared" si="2"/>
        <v>0</v>
      </c>
    </row>
    <row r="241" spans="1:12" ht="15.75" customHeight="1">
      <c r="A241" s="8">
        <v>240</v>
      </c>
      <c r="B241" s="8" t="s">
        <v>234</v>
      </c>
      <c r="C241" s="1" t="s">
        <v>316</v>
      </c>
      <c r="D241" s="1" t="s">
        <v>320</v>
      </c>
      <c r="E241" s="1" t="s">
        <v>321</v>
      </c>
      <c r="F241" s="1" t="s">
        <v>213</v>
      </c>
      <c r="G241" s="8" t="s">
        <v>0</v>
      </c>
      <c r="H241" s="1">
        <v>30</v>
      </c>
      <c r="I241" s="10">
        <f>detail_avancement!B241</f>
        <v>0</v>
      </c>
      <c r="J241" s="10">
        <f t="shared" si="0"/>
        <v>30</v>
      </c>
      <c r="K241" s="13">
        <f t="shared" si="1"/>
        <v>0</v>
      </c>
      <c r="L241" s="14">
        <f t="shared" si="2"/>
        <v>0</v>
      </c>
    </row>
    <row r="242" spans="1:12" ht="15.75" customHeight="1">
      <c r="A242" s="8">
        <v>241</v>
      </c>
      <c r="B242" s="8" t="s">
        <v>234</v>
      </c>
      <c r="C242" s="1" t="s">
        <v>316</v>
      </c>
      <c r="D242" s="1" t="s">
        <v>320</v>
      </c>
      <c r="E242" s="1" t="s">
        <v>322</v>
      </c>
      <c r="F242" s="1" t="s">
        <v>213</v>
      </c>
      <c r="G242" s="8" t="s">
        <v>0</v>
      </c>
      <c r="H242" s="1">
        <v>30</v>
      </c>
      <c r="I242" s="10">
        <f>detail_avancement!B242</f>
        <v>0</v>
      </c>
      <c r="J242" s="10">
        <f t="shared" si="0"/>
        <v>30</v>
      </c>
      <c r="K242" s="13">
        <f t="shared" si="1"/>
        <v>0</v>
      </c>
      <c r="L242" s="14">
        <f t="shared" si="2"/>
        <v>0</v>
      </c>
    </row>
    <row r="243" spans="1:12" ht="15.75" customHeight="1">
      <c r="A243" s="8">
        <v>242</v>
      </c>
      <c r="B243" s="8" t="s">
        <v>234</v>
      </c>
      <c r="C243" s="1" t="s">
        <v>316</v>
      </c>
      <c r="D243" s="1" t="s">
        <v>320</v>
      </c>
      <c r="E243" s="1" t="s">
        <v>323</v>
      </c>
      <c r="F243" s="1" t="s">
        <v>213</v>
      </c>
      <c r="G243" s="8" t="s">
        <v>0</v>
      </c>
      <c r="H243" s="1">
        <v>30</v>
      </c>
      <c r="I243" s="10">
        <f>detail_avancement!B243</f>
        <v>0</v>
      </c>
      <c r="J243" s="10">
        <f t="shared" si="0"/>
        <v>30</v>
      </c>
      <c r="K243" s="13">
        <f t="shared" si="1"/>
        <v>0</v>
      </c>
      <c r="L243" s="14">
        <f t="shared" si="2"/>
        <v>0</v>
      </c>
    </row>
    <row r="244" spans="1:12" ht="15.75" customHeight="1">
      <c r="A244" s="8">
        <v>243</v>
      </c>
      <c r="B244" s="8" t="s">
        <v>234</v>
      </c>
      <c r="C244" s="1" t="s">
        <v>316</v>
      </c>
      <c r="D244" s="1" t="s">
        <v>317</v>
      </c>
      <c r="E244" s="1" t="s">
        <v>324</v>
      </c>
      <c r="F244" s="1" t="s">
        <v>267</v>
      </c>
      <c r="G244" s="8" t="s">
        <v>0</v>
      </c>
      <c r="H244" s="1">
        <v>30</v>
      </c>
      <c r="I244" s="10">
        <f>detail_avancement!B244</f>
        <v>0</v>
      </c>
      <c r="J244" s="10">
        <f t="shared" si="0"/>
        <v>30</v>
      </c>
      <c r="K244" s="13">
        <f t="shared" si="1"/>
        <v>0</v>
      </c>
      <c r="L244" s="14">
        <f t="shared" si="2"/>
        <v>0</v>
      </c>
    </row>
    <row r="245" spans="1:12" ht="15.75" customHeight="1">
      <c r="A245" s="8">
        <v>244</v>
      </c>
      <c r="B245" s="8" t="s">
        <v>234</v>
      </c>
      <c r="C245" s="1" t="s">
        <v>325</v>
      </c>
      <c r="D245" s="1" t="s">
        <v>326</v>
      </c>
      <c r="E245" s="1" t="s">
        <v>327</v>
      </c>
      <c r="F245" s="1" t="s">
        <v>213</v>
      </c>
      <c r="G245" s="8" t="s">
        <v>0</v>
      </c>
      <c r="H245" s="1">
        <v>30</v>
      </c>
      <c r="I245" s="10">
        <f>detail_avancement!B245</f>
        <v>0</v>
      </c>
      <c r="J245" s="10">
        <f t="shared" si="0"/>
        <v>30</v>
      </c>
      <c r="K245" s="13">
        <f t="shared" si="1"/>
        <v>0</v>
      </c>
      <c r="L245" s="14">
        <f t="shared" si="2"/>
        <v>0</v>
      </c>
    </row>
    <row r="246" spans="1:12" ht="15.75" customHeight="1">
      <c r="A246" s="8">
        <v>245</v>
      </c>
      <c r="B246" s="8" t="s">
        <v>234</v>
      </c>
      <c r="C246" s="1" t="s">
        <v>325</v>
      </c>
      <c r="D246" s="1" t="s">
        <v>326</v>
      </c>
      <c r="E246" s="1" t="s">
        <v>328</v>
      </c>
      <c r="F246" s="1" t="s">
        <v>213</v>
      </c>
      <c r="G246" s="8" t="s">
        <v>0</v>
      </c>
      <c r="H246" s="1">
        <v>30</v>
      </c>
      <c r="I246" s="10">
        <f>detail_avancement!B246</f>
        <v>0</v>
      </c>
      <c r="J246" s="10">
        <f t="shared" si="0"/>
        <v>30</v>
      </c>
      <c r="K246" s="13">
        <f t="shared" si="1"/>
        <v>0</v>
      </c>
      <c r="L246" s="14">
        <f t="shared" si="2"/>
        <v>0</v>
      </c>
    </row>
    <row r="247" spans="1:12" ht="15.75" customHeight="1">
      <c r="A247" s="8">
        <v>246</v>
      </c>
      <c r="B247" s="8" t="s">
        <v>234</v>
      </c>
      <c r="C247" s="1" t="s">
        <v>325</v>
      </c>
      <c r="D247" s="1" t="s">
        <v>326</v>
      </c>
      <c r="E247" s="1" t="s">
        <v>329</v>
      </c>
      <c r="F247" s="1" t="s">
        <v>213</v>
      </c>
      <c r="G247" s="8" t="s">
        <v>0</v>
      </c>
      <c r="H247" s="1">
        <v>30</v>
      </c>
      <c r="I247" s="10">
        <f>detail_avancement!B247</f>
        <v>0</v>
      </c>
      <c r="J247" s="10">
        <f t="shared" si="0"/>
        <v>30</v>
      </c>
      <c r="K247" s="13">
        <f t="shared" si="1"/>
        <v>0</v>
      </c>
      <c r="L247" s="14">
        <f t="shared" si="2"/>
        <v>0</v>
      </c>
    </row>
    <row r="248" spans="1:12" ht="15.75" customHeight="1">
      <c r="A248" s="8">
        <v>247</v>
      </c>
      <c r="B248" s="8" t="s">
        <v>234</v>
      </c>
      <c r="C248" s="1" t="s">
        <v>325</v>
      </c>
      <c r="D248" s="1" t="s">
        <v>326</v>
      </c>
      <c r="E248" s="1" t="s">
        <v>330</v>
      </c>
      <c r="F248" s="1" t="s">
        <v>213</v>
      </c>
      <c r="G248" s="8" t="s">
        <v>0</v>
      </c>
      <c r="H248" s="1">
        <v>30</v>
      </c>
      <c r="I248" s="10">
        <f>detail_avancement!B248</f>
        <v>0</v>
      </c>
      <c r="J248" s="10">
        <f t="shared" si="0"/>
        <v>30</v>
      </c>
      <c r="K248" s="13">
        <f t="shared" si="1"/>
        <v>0</v>
      </c>
      <c r="L248" s="14">
        <f t="shared" si="2"/>
        <v>0</v>
      </c>
    </row>
    <row r="249" spans="1:12" ht="15.75" customHeight="1">
      <c r="A249" s="8">
        <v>248</v>
      </c>
      <c r="B249" s="8" t="s">
        <v>234</v>
      </c>
      <c r="C249" s="1" t="s">
        <v>325</v>
      </c>
      <c r="D249" s="1" t="s">
        <v>331</v>
      </c>
      <c r="E249" s="1" t="s">
        <v>332</v>
      </c>
      <c r="F249" s="1" t="s">
        <v>227</v>
      </c>
      <c r="G249" s="8" t="s">
        <v>0</v>
      </c>
      <c r="H249" s="1">
        <v>30</v>
      </c>
      <c r="I249" s="10">
        <f>detail_avancement!B249</f>
        <v>0</v>
      </c>
      <c r="J249" s="10">
        <f t="shared" si="0"/>
        <v>30</v>
      </c>
      <c r="K249" s="13">
        <f t="shared" si="1"/>
        <v>0</v>
      </c>
      <c r="L249" s="14">
        <f t="shared" si="2"/>
        <v>0</v>
      </c>
    </row>
    <row r="250" spans="1:12" ht="15.75" customHeight="1">
      <c r="A250" s="8">
        <v>249</v>
      </c>
      <c r="B250" s="8" t="s">
        <v>234</v>
      </c>
      <c r="C250" s="1" t="s">
        <v>325</v>
      </c>
      <c r="D250" s="1" t="s">
        <v>331</v>
      </c>
      <c r="E250" s="1" t="s">
        <v>333</v>
      </c>
      <c r="F250" s="1" t="s">
        <v>227</v>
      </c>
      <c r="G250" s="8" t="s">
        <v>0</v>
      </c>
      <c r="H250" s="1">
        <v>30</v>
      </c>
      <c r="I250" s="10">
        <f>detail_avancement!B250</f>
        <v>0</v>
      </c>
      <c r="J250" s="10">
        <f t="shared" si="0"/>
        <v>30</v>
      </c>
      <c r="K250" s="13">
        <f t="shared" si="1"/>
        <v>0</v>
      </c>
      <c r="L250" s="14">
        <f t="shared" si="2"/>
        <v>0</v>
      </c>
    </row>
    <row r="251" spans="1:12" ht="15.75" customHeight="1">
      <c r="A251" s="8">
        <v>250</v>
      </c>
      <c r="B251" s="8" t="s">
        <v>234</v>
      </c>
      <c r="C251" s="1" t="s">
        <v>325</v>
      </c>
      <c r="D251" s="1" t="s">
        <v>331</v>
      </c>
      <c r="E251" s="1" t="s">
        <v>334</v>
      </c>
      <c r="F251" s="1" t="s">
        <v>227</v>
      </c>
      <c r="G251" s="8" t="s">
        <v>0</v>
      </c>
      <c r="H251" s="1">
        <v>15</v>
      </c>
      <c r="I251" s="10">
        <f>detail_avancement!B251</f>
        <v>0</v>
      </c>
      <c r="J251" s="10">
        <f t="shared" si="0"/>
        <v>15</v>
      </c>
      <c r="K251" s="13">
        <f t="shared" si="1"/>
        <v>0</v>
      </c>
      <c r="L251" s="14">
        <f t="shared" si="2"/>
        <v>0</v>
      </c>
    </row>
    <row r="252" spans="1:12" ht="15.75" customHeight="1">
      <c r="A252" s="8">
        <v>251</v>
      </c>
      <c r="B252" s="8" t="s">
        <v>234</v>
      </c>
      <c r="C252" s="1" t="s">
        <v>325</v>
      </c>
      <c r="D252" s="1" t="s">
        <v>331</v>
      </c>
      <c r="E252" s="1" t="s">
        <v>335</v>
      </c>
      <c r="F252" s="1" t="s">
        <v>227</v>
      </c>
      <c r="G252" s="8" t="s">
        <v>0</v>
      </c>
      <c r="H252" s="1">
        <v>15</v>
      </c>
      <c r="I252" s="10">
        <f>detail_avancement!B252</f>
        <v>0</v>
      </c>
      <c r="J252" s="10">
        <f t="shared" si="0"/>
        <v>15</v>
      </c>
      <c r="K252" s="13">
        <f t="shared" si="1"/>
        <v>0</v>
      </c>
      <c r="L252" s="14">
        <f t="shared" si="2"/>
        <v>0</v>
      </c>
    </row>
    <row r="253" spans="1:12" ht="15.75" customHeight="1">
      <c r="A253" s="8">
        <v>252</v>
      </c>
      <c r="B253" s="8" t="s">
        <v>234</v>
      </c>
      <c r="C253" s="1" t="s">
        <v>325</v>
      </c>
      <c r="D253" s="1" t="s">
        <v>331</v>
      </c>
      <c r="E253" s="1" t="s">
        <v>336</v>
      </c>
      <c r="F253" s="1" t="s">
        <v>227</v>
      </c>
      <c r="G253" s="8" t="s">
        <v>0</v>
      </c>
      <c r="H253" s="1">
        <v>15</v>
      </c>
      <c r="I253" s="10">
        <f>detail_avancement!B253</f>
        <v>0</v>
      </c>
      <c r="J253" s="10">
        <f t="shared" si="0"/>
        <v>15</v>
      </c>
      <c r="K253" s="13">
        <f t="shared" si="1"/>
        <v>0</v>
      </c>
      <c r="L253" s="14">
        <f t="shared" si="2"/>
        <v>0</v>
      </c>
    </row>
    <row r="254" spans="1:12" ht="15.75" customHeight="1">
      <c r="A254" s="8">
        <v>253</v>
      </c>
      <c r="B254" s="8" t="s">
        <v>234</v>
      </c>
      <c r="C254" s="1" t="s">
        <v>325</v>
      </c>
      <c r="D254" s="1" t="s">
        <v>331</v>
      </c>
      <c r="E254" s="1" t="s">
        <v>337</v>
      </c>
      <c r="F254" s="1" t="s">
        <v>227</v>
      </c>
      <c r="G254" s="8" t="s">
        <v>0</v>
      </c>
      <c r="H254" s="1">
        <v>15</v>
      </c>
      <c r="I254" s="10">
        <f>detail_avancement!B254</f>
        <v>0</v>
      </c>
      <c r="J254" s="10">
        <f t="shared" si="0"/>
        <v>15</v>
      </c>
      <c r="K254" s="13">
        <f t="shared" si="1"/>
        <v>0</v>
      </c>
      <c r="L254" s="14">
        <f t="shared" si="2"/>
        <v>0</v>
      </c>
    </row>
    <row r="255" spans="1:12" ht="15.75" customHeight="1">
      <c r="A255" s="8">
        <v>254</v>
      </c>
      <c r="B255" s="8" t="s">
        <v>234</v>
      </c>
      <c r="C255" s="1" t="s">
        <v>325</v>
      </c>
      <c r="D255" s="1" t="s">
        <v>338</v>
      </c>
      <c r="E255" s="1" t="s">
        <v>339</v>
      </c>
      <c r="F255" s="1" t="s">
        <v>227</v>
      </c>
      <c r="G255" s="8" t="s">
        <v>0</v>
      </c>
      <c r="H255" s="1">
        <v>30</v>
      </c>
      <c r="I255" s="10">
        <f>detail_avancement!B255</f>
        <v>0</v>
      </c>
      <c r="J255" s="10">
        <f t="shared" si="0"/>
        <v>30</v>
      </c>
      <c r="K255" s="13">
        <f t="shared" si="1"/>
        <v>0</v>
      </c>
      <c r="L255" s="14">
        <f t="shared" si="2"/>
        <v>0</v>
      </c>
    </row>
    <row r="256" spans="1:12" ht="15.75" customHeight="1">
      <c r="A256" s="8">
        <v>255</v>
      </c>
      <c r="B256" s="8" t="s">
        <v>234</v>
      </c>
      <c r="C256" s="1" t="s">
        <v>325</v>
      </c>
      <c r="D256" s="1" t="s">
        <v>338</v>
      </c>
      <c r="E256" s="1" t="s">
        <v>340</v>
      </c>
      <c r="F256" s="1" t="s">
        <v>227</v>
      </c>
      <c r="G256" s="8" t="s">
        <v>0</v>
      </c>
      <c r="H256" s="1">
        <v>15</v>
      </c>
      <c r="I256" s="10">
        <f>detail_avancement!B256</f>
        <v>0</v>
      </c>
      <c r="J256" s="10">
        <f t="shared" si="0"/>
        <v>15</v>
      </c>
      <c r="K256" s="13">
        <f t="shared" si="1"/>
        <v>0</v>
      </c>
      <c r="L256" s="14">
        <f t="shared" si="2"/>
        <v>0</v>
      </c>
    </row>
    <row r="257" spans="1:12" ht="15.75" customHeight="1">
      <c r="A257" s="8">
        <v>256</v>
      </c>
      <c r="B257" s="8" t="s">
        <v>234</v>
      </c>
      <c r="C257" s="1" t="s">
        <v>325</v>
      </c>
      <c r="D257" s="1" t="s">
        <v>338</v>
      </c>
      <c r="E257" s="1" t="s">
        <v>341</v>
      </c>
      <c r="F257" s="1" t="s">
        <v>227</v>
      </c>
      <c r="G257" s="8" t="s">
        <v>0</v>
      </c>
      <c r="H257" s="1">
        <v>15</v>
      </c>
      <c r="I257" s="10">
        <f>detail_avancement!B257</f>
        <v>0</v>
      </c>
      <c r="J257" s="10">
        <f t="shared" si="0"/>
        <v>15</v>
      </c>
      <c r="K257" s="13">
        <f t="shared" si="1"/>
        <v>0</v>
      </c>
      <c r="L257" s="14">
        <f t="shared" si="2"/>
        <v>0</v>
      </c>
    </row>
    <row r="258" spans="1:12" ht="15.75" customHeight="1">
      <c r="A258" s="8">
        <v>257</v>
      </c>
      <c r="B258" s="8" t="s">
        <v>234</v>
      </c>
      <c r="C258" s="1" t="s">
        <v>325</v>
      </c>
      <c r="D258" s="1" t="s">
        <v>338</v>
      </c>
      <c r="E258" s="1" t="s">
        <v>342</v>
      </c>
      <c r="F258" s="1" t="s">
        <v>227</v>
      </c>
      <c r="G258" s="8" t="s">
        <v>0</v>
      </c>
      <c r="H258" s="1">
        <v>30</v>
      </c>
      <c r="I258" s="10">
        <f>detail_avancement!B258</f>
        <v>0</v>
      </c>
      <c r="J258" s="10">
        <f t="shared" si="0"/>
        <v>30</v>
      </c>
      <c r="K258" s="13">
        <f t="shared" si="1"/>
        <v>0</v>
      </c>
      <c r="L258" s="14">
        <f t="shared" si="2"/>
        <v>0</v>
      </c>
    </row>
    <row r="259" spans="1:12" ht="15.75" customHeight="1">
      <c r="A259" s="8">
        <v>258</v>
      </c>
      <c r="B259" s="8" t="s">
        <v>234</v>
      </c>
      <c r="C259" s="1" t="s">
        <v>325</v>
      </c>
      <c r="D259" s="1" t="s">
        <v>331</v>
      </c>
      <c r="E259" s="1" t="s">
        <v>343</v>
      </c>
      <c r="F259" s="1" t="s">
        <v>227</v>
      </c>
      <c r="G259" s="8" t="s">
        <v>0</v>
      </c>
      <c r="H259" s="1">
        <v>30</v>
      </c>
      <c r="I259" s="10">
        <f>detail_avancement!B259</f>
        <v>0</v>
      </c>
      <c r="J259" s="10">
        <f t="shared" si="0"/>
        <v>30</v>
      </c>
      <c r="K259" s="13">
        <f t="shared" si="1"/>
        <v>0</v>
      </c>
      <c r="L259" s="14">
        <f t="shared" si="2"/>
        <v>0</v>
      </c>
    </row>
    <row r="260" spans="1:12" ht="15.75" customHeight="1">
      <c r="A260" s="8">
        <v>259</v>
      </c>
      <c r="B260" s="8" t="s">
        <v>234</v>
      </c>
      <c r="C260" s="1" t="s">
        <v>325</v>
      </c>
      <c r="D260" s="1" t="s">
        <v>331</v>
      </c>
      <c r="E260" s="1" t="s">
        <v>313</v>
      </c>
      <c r="F260" s="1" t="s">
        <v>267</v>
      </c>
      <c r="G260" s="8" t="s">
        <v>0</v>
      </c>
      <c r="H260" s="1">
        <v>15</v>
      </c>
      <c r="I260" s="10">
        <f>detail_avancement!B260</f>
        <v>0</v>
      </c>
      <c r="J260" s="10">
        <f t="shared" si="0"/>
        <v>15</v>
      </c>
      <c r="K260" s="13">
        <f t="shared" si="1"/>
        <v>0</v>
      </c>
      <c r="L260" s="14">
        <f t="shared" si="2"/>
        <v>0</v>
      </c>
    </row>
    <row r="261" spans="1:12" ht="15.75" customHeight="1">
      <c r="A261" s="8">
        <v>260</v>
      </c>
      <c r="B261" s="8" t="s">
        <v>234</v>
      </c>
      <c r="C261" s="1" t="s">
        <v>325</v>
      </c>
      <c r="D261" s="1" t="s">
        <v>331</v>
      </c>
      <c r="E261" s="1" t="s">
        <v>344</v>
      </c>
      <c r="F261" s="1" t="s">
        <v>267</v>
      </c>
      <c r="G261" s="8" t="s">
        <v>0</v>
      </c>
      <c r="H261" s="1">
        <v>15</v>
      </c>
      <c r="I261" s="10">
        <f>detail_avancement!B261</f>
        <v>0</v>
      </c>
      <c r="J261" s="10">
        <f t="shared" si="0"/>
        <v>15</v>
      </c>
      <c r="K261" s="13">
        <f t="shared" si="1"/>
        <v>0</v>
      </c>
      <c r="L261" s="14">
        <f t="shared" si="2"/>
        <v>0</v>
      </c>
    </row>
    <row r="262" spans="1:12" ht="15.75" customHeight="1">
      <c r="A262" s="8">
        <v>261</v>
      </c>
      <c r="B262" s="8" t="s">
        <v>234</v>
      </c>
      <c r="C262" s="1" t="s">
        <v>325</v>
      </c>
      <c r="D262" s="1" t="s">
        <v>331</v>
      </c>
      <c r="E262" s="1" t="s">
        <v>345</v>
      </c>
      <c r="F262" s="1" t="s">
        <v>267</v>
      </c>
      <c r="G262" s="8" t="s">
        <v>0</v>
      </c>
      <c r="H262" s="1">
        <v>15</v>
      </c>
      <c r="I262" s="10">
        <f>detail_avancement!B262</f>
        <v>0</v>
      </c>
      <c r="J262" s="10">
        <f t="shared" si="0"/>
        <v>15</v>
      </c>
      <c r="K262" s="13">
        <f t="shared" si="1"/>
        <v>0</v>
      </c>
      <c r="L262" s="14">
        <f t="shared" si="2"/>
        <v>0</v>
      </c>
    </row>
    <row r="263" spans="1:12" ht="15.75" customHeight="1">
      <c r="A263" s="8">
        <v>262</v>
      </c>
      <c r="B263" s="8" t="s">
        <v>234</v>
      </c>
      <c r="C263" s="1" t="s">
        <v>325</v>
      </c>
      <c r="D263" s="1" t="s">
        <v>331</v>
      </c>
      <c r="E263" s="1" t="s">
        <v>346</v>
      </c>
      <c r="F263" s="1" t="s">
        <v>267</v>
      </c>
      <c r="G263" s="8" t="s">
        <v>0</v>
      </c>
      <c r="H263" s="1">
        <v>15</v>
      </c>
      <c r="I263" s="10">
        <f>detail_avancement!B263</f>
        <v>0</v>
      </c>
      <c r="J263" s="10">
        <f t="shared" si="0"/>
        <v>15</v>
      </c>
      <c r="K263" s="13">
        <f t="shared" si="1"/>
        <v>0</v>
      </c>
      <c r="L263" s="14">
        <f t="shared" si="2"/>
        <v>0</v>
      </c>
    </row>
    <row r="264" spans="1:12" ht="15.75" customHeight="1">
      <c r="A264" s="8">
        <v>263</v>
      </c>
      <c r="B264" s="8" t="s">
        <v>234</v>
      </c>
      <c r="C264" s="1" t="s">
        <v>347</v>
      </c>
      <c r="D264" s="1" t="s">
        <v>348</v>
      </c>
      <c r="E264" s="1" t="s">
        <v>217</v>
      </c>
      <c r="F264" s="1" t="s">
        <v>213</v>
      </c>
      <c r="G264" s="8" t="s">
        <v>0</v>
      </c>
      <c r="H264" s="1">
        <v>30</v>
      </c>
      <c r="I264" s="10">
        <f>detail_avancement!B264</f>
        <v>0</v>
      </c>
      <c r="J264" s="10">
        <f t="shared" si="0"/>
        <v>30</v>
      </c>
      <c r="K264" s="13">
        <f t="shared" si="1"/>
        <v>0</v>
      </c>
      <c r="L264" s="14">
        <f t="shared" si="2"/>
        <v>0</v>
      </c>
    </row>
    <row r="265" spans="1:12" ht="15.75" customHeight="1">
      <c r="A265" s="8">
        <v>264</v>
      </c>
      <c r="B265" s="8" t="s">
        <v>234</v>
      </c>
      <c r="C265" s="1" t="s">
        <v>347</v>
      </c>
      <c r="D265" s="1" t="s">
        <v>348</v>
      </c>
      <c r="E265" s="1" t="s">
        <v>349</v>
      </c>
      <c r="F265" s="1" t="s">
        <v>213</v>
      </c>
      <c r="G265" s="8" t="s">
        <v>0</v>
      </c>
      <c r="H265" s="1">
        <v>30</v>
      </c>
      <c r="I265" s="10">
        <f>detail_avancement!B265</f>
        <v>0</v>
      </c>
      <c r="J265" s="10">
        <f t="shared" si="0"/>
        <v>30</v>
      </c>
      <c r="K265" s="13">
        <f t="shared" si="1"/>
        <v>0</v>
      </c>
      <c r="L265" s="14">
        <f t="shared" si="2"/>
        <v>0</v>
      </c>
    </row>
    <row r="266" spans="1:12" ht="15.75" customHeight="1">
      <c r="A266" s="8">
        <v>265</v>
      </c>
      <c r="B266" s="8" t="s">
        <v>234</v>
      </c>
      <c r="C266" s="1" t="s">
        <v>347</v>
      </c>
      <c r="D266" s="1" t="s">
        <v>348</v>
      </c>
      <c r="E266" s="1" t="s">
        <v>329</v>
      </c>
      <c r="F266" s="1" t="s">
        <v>213</v>
      </c>
      <c r="G266" s="8" t="s">
        <v>0</v>
      </c>
      <c r="H266" s="1">
        <v>30</v>
      </c>
      <c r="I266" s="10">
        <f>detail_avancement!B266</f>
        <v>0</v>
      </c>
      <c r="J266" s="10">
        <f t="shared" si="0"/>
        <v>30</v>
      </c>
      <c r="K266" s="13">
        <f t="shared" si="1"/>
        <v>0</v>
      </c>
      <c r="L266" s="14">
        <f t="shared" si="2"/>
        <v>0</v>
      </c>
    </row>
    <row r="267" spans="1:12" ht="15.75" customHeight="1">
      <c r="A267" s="8">
        <v>266</v>
      </c>
      <c r="B267" s="8" t="s">
        <v>234</v>
      </c>
      <c r="C267" s="1" t="s">
        <v>347</v>
      </c>
      <c r="D267" s="1" t="s">
        <v>348</v>
      </c>
      <c r="E267" s="1" t="s">
        <v>350</v>
      </c>
      <c r="F267" s="1" t="s">
        <v>213</v>
      </c>
      <c r="G267" s="8" t="s">
        <v>0</v>
      </c>
      <c r="H267" s="1">
        <v>30</v>
      </c>
      <c r="I267" s="10">
        <f>detail_avancement!B267</f>
        <v>0</v>
      </c>
      <c r="J267" s="10">
        <f t="shared" si="0"/>
        <v>30</v>
      </c>
      <c r="K267" s="13">
        <f t="shared" si="1"/>
        <v>0</v>
      </c>
      <c r="L267" s="14">
        <f t="shared" si="2"/>
        <v>0</v>
      </c>
    </row>
    <row r="268" spans="1:12" ht="15.75" customHeight="1">
      <c r="A268" s="8">
        <v>267</v>
      </c>
      <c r="B268" s="8" t="s">
        <v>234</v>
      </c>
      <c r="C268" s="1" t="s">
        <v>347</v>
      </c>
      <c r="D268" s="1" t="s">
        <v>351</v>
      </c>
      <c r="E268" s="1" t="s">
        <v>352</v>
      </c>
      <c r="F268" s="1" t="s">
        <v>227</v>
      </c>
      <c r="G268" s="8" t="s">
        <v>0</v>
      </c>
      <c r="H268" s="1">
        <v>30</v>
      </c>
      <c r="I268" s="10">
        <f>detail_avancement!B268</f>
        <v>0</v>
      </c>
      <c r="J268" s="10">
        <f t="shared" si="0"/>
        <v>30</v>
      </c>
      <c r="K268" s="13">
        <f t="shared" si="1"/>
        <v>0</v>
      </c>
      <c r="L268" s="14">
        <f t="shared" si="2"/>
        <v>0</v>
      </c>
    </row>
    <row r="269" spans="1:12" ht="15.75" customHeight="1">
      <c r="A269" s="8">
        <v>268</v>
      </c>
      <c r="B269" s="8" t="s">
        <v>234</v>
      </c>
      <c r="C269" s="1" t="s">
        <v>347</v>
      </c>
      <c r="D269" s="1" t="s">
        <v>351</v>
      </c>
      <c r="E269" s="1" t="s">
        <v>353</v>
      </c>
      <c r="F269" s="1" t="s">
        <v>227</v>
      </c>
      <c r="G269" s="8" t="s">
        <v>0</v>
      </c>
      <c r="H269" s="1">
        <v>15</v>
      </c>
      <c r="I269" s="10">
        <f>detail_avancement!B269</f>
        <v>0</v>
      </c>
      <c r="J269" s="10">
        <f t="shared" si="0"/>
        <v>15</v>
      </c>
      <c r="K269" s="13">
        <f t="shared" si="1"/>
        <v>0</v>
      </c>
      <c r="L269" s="14">
        <f t="shared" si="2"/>
        <v>0</v>
      </c>
    </row>
    <row r="270" spans="1:12" ht="15.75" customHeight="1">
      <c r="A270" s="8">
        <v>269</v>
      </c>
      <c r="B270" s="8" t="s">
        <v>234</v>
      </c>
      <c r="C270" s="1" t="s">
        <v>347</v>
      </c>
      <c r="D270" s="1" t="s">
        <v>351</v>
      </c>
      <c r="E270" s="1" t="s">
        <v>354</v>
      </c>
      <c r="F270" s="1" t="s">
        <v>227</v>
      </c>
      <c r="G270" s="8" t="s">
        <v>0</v>
      </c>
      <c r="H270" s="1">
        <v>15</v>
      </c>
      <c r="I270" s="10">
        <f>detail_avancement!B270</f>
        <v>0</v>
      </c>
      <c r="J270" s="10">
        <f t="shared" si="0"/>
        <v>15</v>
      </c>
      <c r="K270" s="13">
        <f t="shared" si="1"/>
        <v>0</v>
      </c>
      <c r="L270" s="14">
        <f t="shared" si="2"/>
        <v>0</v>
      </c>
    </row>
    <row r="271" spans="1:12" ht="15.75" customHeight="1">
      <c r="A271" s="8">
        <v>270</v>
      </c>
      <c r="B271" s="8" t="s">
        <v>234</v>
      </c>
      <c r="C271" s="1" t="s">
        <v>347</v>
      </c>
      <c r="D271" s="1" t="s">
        <v>351</v>
      </c>
      <c r="E271" s="1" t="s">
        <v>355</v>
      </c>
      <c r="F271" s="1" t="s">
        <v>227</v>
      </c>
      <c r="G271" s="8" t="s">
        <v>0</v>
      </c>
      <c r="H271" s="1">
        <v>30</v>
      </c>
      <c r="I271" s="10">
        <f>detail_avancement!B271</f>
        <v>0</v>
      </c>
      <c r="J271" s="10">
        <f t="shared" si="0"/>
        <v>30</v>
      </c>
      <c r="K271" s="13">
        <f t="shared" si="1"/>
        <v>0</v>
      </c>
      <c r="L271" s="14">
        <f t="shared" si="2"/>
        <v>0</v>
      </c>
    </row>
    <row r="272" spans="1:12" ht="15.75" customHeight="1">
      <c r="A272" s="8">
        <v>271</v>
      </c>
      <c r="B272" s="8" t="s">
        <v>234</v>
      </c>
      <c r="C272" s="1" t="s">
        <v>347</v>
      </c>
      <c r="D272" s="1" t="s">
        <v>356</v>
      </c>
      <c r="E272" s="1" t="s">
        <v>357</v>
      </c>
      <c r="F272" s="1" t="s">
        <v>227</v>
      </c>
      <c r="G272" s="8" t="s">
        <v>0</v>
      </c>
      <c r="H272" s="1">
        <v>30</v>
      </c>
      <c r="I272" s="10">
        <f>detail_avancement!B272</f>
        <v>0</v>
      </c>
      <c r="J272" s="10">
        <f t="shared" si="0"/>
        <v>30</v>
      </c>
      <c r="K272" s="13">
        <f t="shared" si="1"/>
        <v>0</v>
      </c>
      <c r="L272" s="14">
        <f t="shared" si="2"/>
        <v>0</v>
      </c>
    </row>
    <row r="273" spans="1:12" ht="15.75" customHeight="1">
      <c r="A273" s="8">
        <v>272</v>
      </c>
      <c r="B273" s="8" t="s">
        <v>234</v>
      </c>
      <c r="C273" s="1" t="s">
        <v>347</v>
      </c>
      <c r="D273" s="1" t="s">
        <v>356</v>
      </c>
      <c r="E273" s="1" t="s">
        <v>358</v>
      </c>
      <c r="F273" s="1" t="s">
        <v>227</v>
      </c>
      <c r="G273" s="8" t="s">
        <v>0</v>
      </c>
      <c r="H273" s="1">
        <v>30</v>
      </c>
      <c r="I273" s="10">
        <f>detail_avancement!B273</f>
        <v>0</v>
      </c>
      <c r="J273" s="10">
        <f t="shared" si="0"/>
        <v>30</v>
      </c>
      <c r="K273" s="13">
        <f t="shared" si="1"/>
        <v>0</v>
      </c>
      <c r="L273" s="14">
        <f t="shared" si="2"/>
        <v>0</v>
      </c>
    </row>
    <row r="274" spans="1:12" ht="15.75" customHeight="1">
      <c r="A274" s="8">
        <v>273</v>
      </c>
      <c r="B274" s="8" t="s">
        <v>234</v>
      </c>
      <c r="C274" s="1" t="s">
        <v>347</v>
      </c>
      <c r="D274" s="1" t="s">
        <v>351</v>
      </c>
      <c r="E274" s="1" t="s">
        <v>359</v>
      </c>
      <c r="F274" s="1" t="s">
        <v>267</v>
      </c>
      <c r="G274" s="8" t="s">
        <v>0</v>
      </c>
      <c r="H274" s="1">
        <v>15</v>
      </c>
      <c r="I274" s="10">
        <f>detail_avancement!B274</f>
        <v>0</v>
      </c>
      <c r="J274" s="10">
        <f t="shared" si="0"/>
        <v>15</v>
      </c>
      <c r="K274" s="13">
        <f t="shared" si="1"/>
        <v>0</v>
      </c>
      <c r="L274" s="14">
        <f t="shared" si="2"/>
        <v>0</v>
      </c>
    </row>
    <row r="275" spans="1:12" ht="15.75" customHeight="1">
      <c r="A275" s="8">
        <v>274</v>
      </c>
      <c r="B275" s="8" t="s">
        <v>234</v>
      </c>
      <c r="C275" s="1" t="s">
        <v>347</v>
      </c>
      <c r="D275" s="1" t="s">
        <v>351</v>
      </c>
      <c r="E275" s="1" t="s">
        <v>360</v>
      </c>
      <c r="F275" s="1" t="s">
        <v>267</v>
      </c>
      <c r="G275" s="8" t="s">
        <v>0</v>
      </c>
      <c r="H275" s="1">
        <v>15</v>
      </c>
      <c r="I275" s="10">
        <f>detail_avancement!B275</f>
        <v>0</v>
      </c>
      <c r="J275" s="10">
        <f t="shared" si="0"/>
        <v>15</v>
      </c>
      <c r="K275" s="13">
        <f t="shared" si="1"/>
        <v>0</v>
      </c>
      <c r="L275" s="14">
        <f t="shared" si="2"/>
        <v>0</v>
      </c>
    </row>
    <row r="276" spans="1:12" ht="15.75" customHeight="1">
      <c r="A276" s="8">
        <v>275</v>
      </c>
      <c r="B276" s="8" t="s">
        <v>234</v>
      </c>
      <c r="C276" s="1" t="s">
        <v>361</v>
      </c>
      <c r="D276" s="1" t="s">
        <v>362</v>
      </c>
      <c r="E276" s="1" t="s">
        <v>363</v>
      </c>
      <c r="F276" s="1" t="s">
        <v>213</v>
      </c>
      <c r="G276" s="8" t="s">
        <v>0</v>
      </c>
      <c r="H276" s="1">
        <v>15</v>
      </c>
      <c r="I276" s="10">
        <f>detail_avancement!B276</f>
        <v>0</v>
      </c>
      <c r="J276" s="10">
        <f t="shared" si="0"/>
        <v>15</v>
      </c>
      <c r="K276" s="13">
        <f t="shared" si="1"/>
        <v>0</v>
      </c>
      <c r="L276" s="14">
        <f t="shared" si="2"/>
        <v>0</v>
      </c>
    </row>
    <row r="277" spans="1:12" ht="15.75" customHeight="1">
      <c r="A277" s="8">
        <v>276</v>
      </c>
      <c r="B277" s="8" t="s">
        <v>234</v>
      </c>
      <c r="C277" s="1" t="s">
        <v>361</v>
      </c>
      <c r="D277" s="1" t="s">
        <v>362</v>
      </c>
      <c r="E277" s="1" t="s">
        <v>364</v>
      </c>
      <c r="F277" s="1" t="s">
        <v>213</v>
      </c>
      <c r="G277" s="8" t="s">
        <v>0</v>
      </c>
      <c r="H277" s="1">
        <v>30</v>
      </c>
      <c r="I277" s="10">
        <f>detail_avancement!B277</f>
        <v>0</v>
      </c>
      <c r="J277" s="10">
        <f t="shared" si="0"/>
        <v>30</v>
      </c>
      <c r="K277" s="13">
        <f t="shared" si="1"/>
        <v>0</v>
      </c>
      <c r="L277" s="14">
        <f t="shared" si="2"/>
        <v>0</v>
      </c>
    </row>
    <row r="278" spans="1:12" ht="15.75" customHeight="1">
      <c r="A278" s="8">
        <v>277</v>
      </c>
      <c r="B278" s="8" t="s">
        <v>234</v>
      </c>
      <c r="C278" s="1" t="s">
        <v>361</v>
      </c>
      <c r="D278" s="1" t="s">
        <v>362</v>
      </c>
      <c r="E278" s="1" t="s">
        <v>365</v>
      </c>
      <c r="F278" s="1" t="s">
        <v>213</v>
      </c>
      <c r="G278" s="8" t="s">
        <v>0</v>
      </c>
      <c r="H278" s="1">
        <v>15</v>
      </c>
      <c r="I278" s="10">
        <f>detail_avancement!B278</f>
        <v>0</v>
      </c>
      <c r="J278" s="10">
        <f t="shared" si="0"/>
        <v>15</v>
      </c>
      <c r="K278" s="13">
        <f t="shared" si="1"/>
        <v>0</v>
      </c>
      <c r="L278" s="14">
        <f t="shared" si="2"/>
        <v>0</v>
      </c>
    </row>
    <row r="279" spans="1:12" ht="15.75" customHeight="1">
      <c r="A279" s="8">
        <v>278</v>
      </c>
      <c r="B279" s="8" t="s">
        <v>234</v>
      </c>
      <c r="C279" s="1" t="s">
        <v>361</v>
      </c>
      <c r="D279" s="1" t="s">
        <v>362</v>
      </c>
      <c r="E279" s="1" t="s">
        <v>366</v>
      </c>
      <c r="F279" s="1" t="s">
        <v>213</v>
      </c>
      <c r="G279" s="8" t="s">
        <v>0</v>
      </c>
      <c r="H279" s="1">
        <v>30</v>
      </c>
      <c r="I279" s="10">
        <f>detail_avancement!B279</f>
        <v>0</v>
      </c>
      <c r="J279" s="10">
        <f t="shared" si="0"/>
        <v>30</v>
      </c>
      <c r="K279" s="13">
        <f t="shared" si="1"/>
        <v>0</v>
      </c>
      <c r="L279" s="14">
        <f t="shared" si="2"/>
        <v>0</v>
      </c>
    </row>
    <row r="280" spans="1:12" ht="15.75" customHeight="1">
      <c r="A280" s="8">
        <v>279</v>
      </c>
      <c r="B280" s="8" t="s">
        <v>234</v>
      </c>
      <c r="C280" s="1" t="s">
        <v>361</v>
      </c>
      <c r="D280" s="1" t="s">
        <v>367</v>
      </c>
      <c r="E280" s="1" t="s">
        <v>368</v>
      </c>
      <c r="F280" s="1" t="s">
        <v>213</v>
      </c>
      <c r="G280" s="8" t="s">
        <v>0</v>
      </c>
      <c r="H280" s="1">
        <v>30</v>
      </c>
      <c r="I280" s="10">
        <f>detail_avancement!B280</f>
        <v>0</v>
      </c>
      <c r="J280" s="10">
        <f t="shared" si="0"/>
        <v>30</v>
      </c>
      <c r="K280" s="13">
        <f t="shared" si="1"/>
        <v>0</v>
      </c>
      <c r="L280" s="14">
        <f t="shared" si="2"/>
        <v>0</v>
      </c>
    </row>
    <row r="281" spans="1:12" ht="15.75" customHeight="1">
      <c r="A281" s="8">
        <v>280</v>
      </c>
      <c r="B281" s="8" t="s">
        <v>234</v>
      </c>
      <c r="C281" s="1" t="s">
        <v>361</v>
      </c>
      <c r="D281" s="1" t="s">
        <v>367</v>
      </c>
      <c r="E281" s="1" t="s">
        <v>369</v>
      </c>
      <c r="F281" s="1" t="s">
        <v>213</v>
      </c>
      <c r="G281" s="8" t="s">
        <v>0</v>
      </c>
      <c r="H281" s="1">
        <v>30</v>
      </c>
      <c r="I281" s="10">
        <f>detail_avancement!B281</f>
        <v>0</v>
      </c>
      <c r="J281" s="10">
        <f t="shared" si="0"/>
        <v>30</v>
      </c>
      <c r="K281" s="13">
        <f t="shared" si="1"/>
        <v>0</v>
      </c>
      <c r="L281" s="14">
        <f t="shared" si="2"/>
        <v>0</v>
      </c>
    </row>
    <row r="282" spans="1:12" ht="15.75" customHeight="1">
      <c r="A282" s="8">
        <v>281</v>
      </c>
      <c r="B282" s="8" t="s">
        <v>234</v>
      </c>
      <c r="C282" s="1" t="s">
        <v>361</v>
      </c>
      <c r="D282" s="1" t="s">
        <v>367</v>
      </c>
      <c r="E282" s="1" t="s">
        <v>370</v>
      </c>
      <c r="F282" s="1" t="s">
        <v>213</v>
      </c>
      <c r="G282" s="8" t="s">
        <v>0</v>
      </c>
      <c r="H282" s="1">
        <v>30</v>
      </c>
      <c r="I282" s="10">
        <f>detail_avancement!B282</f>
        <v>0</v>
      </c>
      <c r="J282" s="10">
        <f t="shared" si="0"/>
        <v>30</v>
      </c>
      <c r="K282" s="13">
        <f t="shared" si="1"/>
        <v>0</v>
      </c>
      <c r="L282" s="14">
        <f t="shared" si="2"/>
        <v>0</v>
      </c>
    </row>
    <row r="283" spans="1:12" ht="15.75" customHeight="1">
      <c r="A283" s="8">
        <v>282</v>
      </c>
      <c r="B283" s="8" t="s">
        <v>234</v>
      </c>
      <c r="C283" s="1" t="s">
        <v>361</v>
      </c>
      <c r="D283" s="1" t="s">
        <v>367</v>
      </c>
      <c r="E283" s="1" t="s">
        <v>371</v>
      </c>
      <c r="F283" s="1" t="s">
        <v>213</v>
      </c>
      <c r="G283" s="8" t="s">
        <v>0</v>
      </c>
      <c r="H283" s="1">
        <v>30</v>
      </c>
      <c r="I283" s="10">
        <f>detail_avancement!B283</f>
        <v>0</v>
      </c>
      <c r="J283" s="10">
        <f t="shared" si="0"/>
        <v>30</v>
      </c>
      <c r="K283" s="13">
        <f t="shared" si="1"/>
        <v>0</v>
      </c>
      <c r="L283" s="14">
        <f t="shared" si="2"/>
        <v>0</v>
      </c>
    </row>
    <row r="284" spans="1:12" ht="15.75" customHeight="1">
      <c r="A284" s="8">
        <v>283</v>
      </c>
      <c r="B284" s="8" t="s">
        <v>234</v>
      </c>
      <c r="C284" s="1" t="s">
        <v>361</v>
      </c>
      <c r="D284" s="1" t="s">
        <v>367</v>
      </c>
      <c r="E284" s="1" t="s">
        <v>372</v>
      </c>
      <c r="F284" s="1" t="s">
        <v>213</v>
      </c>
      <c r="G284" s="8" t="s">
        <v>0</v>
      </c>
      <c r="H284" s="1">
        <v>30</v>
      </c>
      <c r="I284" s="10">
        <f>detail_avancement!B284</f>
        <v>0</v>
      </c>
      <c r="J284" s="10">
        <f t="shared" si="0"/>
        <v>30</v>
      </c>
      <c r="K284" s="13">
        <f t="shared" si="1"/>
        <v>0</v>
      </c>
      <c r="L284" s="14">
        <f t="shared" si="2"/>
        <v>0</v>
      </c>
    </row>
    <row r="285" spans="1:12" ht="15.75" customHeight="1">
      <c r="A285" s="8">
        <v>284</v>
      </c>
      <c r="B285" s="8" t="s">
        <v>234</v>
      </c>
      <c r="C285" s="1" t="s">
        <v>361</v>
      </c>
      <c r="D285" s="1" t="s">
        <v>367</v>
      </c>
      <c r="E285" s="1" t="s">
        <v>373</v>
      </c>
      <c r="F285" s="1" t="s">
        <v>213</v>
      </c>
      <c r="G285" s="8" t="s">
        <v>0</v>
      </c>
      <c r="H285" s="1">
        <v>30</v>
      </c>
      <c r="I285" s="10">
        <f>detail_avancement!B285</f>
        <v>0</v>
      </c>
      <c r="J285" s="10">
        <f t="shared" si="0"/>
        <v>30</v>
      </c>
      <c r="K285" s="13">
        <f t="shared" si="1"/>
        <v>0</v>
      </c>
      <c r="L285" s="14">
        <f t="shared" si="2"/>
        <v>0</v>
      </c>
    </row>
    <row r="286" spans="1:12" ht="15.75" customHeight="1">
      <c r="A286" s="8">
        <v>285</v>
      </c>
      <c r="B286" s="8" t="s">
        <v>234</v>
      </c>
      <c r="C286" s="1" t="s">
        <v>361</v>
      </c>
      <c r="D286" s="1" t="s">
        <v>367</v>
      </c>
      <c r="E286" s="1" t="s">
        <v>374</v>
      </c>
      <c r="F286" s="1" t="s">
        <v>213</v>
      </c>
      <c r="G286" s="8" t="s">
        <v>0</v>
      </c>
      <c r="H286" s="1">
        <v>30</v>
      </c>
      <c r="I286" s="10">
        <f>detail_avancement!B286</f>
        <v>0</v>
      </c>
      <c r="J286" s="10">
        <f t="shared" si="0"/>
        <v>30</v>
      </c>
      <c r="K286" s="13">
        <f t="shared" si="1"/>
        <v>0</v>
      </c>
      <c r="L286" s="14">
        <f t="shared" si="2"/>
        <v>0</v>
      </c>
    </row>
    <row r="287" spans="1:12" ht="15.75" customHeight="1">
      <c r="A287" s="8">
        <v>286</v>
      </c>
      <c r="B287" s="8" t="s">
        <v>234</v>
      </c>
      <c r="C287" s="1" t="s">
        <v>361</v>
      </c>
      <c r="D287" s="1" t="s">
        <v>375</v>
      </c>
      <c r="E287" s="1" t="s">
        <v>376</v>
      </c>
      <c r="F287" s="1" t="s">
        <v>227</v>
      </c>
      <c r="G287" s="8" t="s">
        <v>0</v>
      </c>
      <c r="H287" s="1">
        <v>30</v>
      </c>
      <c r="I287" s="10">
        <f>detail_avancement!B287</f>
        <v>0</v>
      </c>
      <c r="J287" s="10">
        <f t="shared" si="0"/>
        <v>30</v>
      </c>
      <c r="K287" s="13">
        <f t="shared" si="1"/>
        <v>0</v>
      </c>
      <c r="L287" s="14">
        <f t="shared" si="2"/>
        <v>0</v>
      </c>
    </row>
    <row r="288" spans="1:12" ht="15.75" customHeight="1">
      <c r="A288" s="8">
        <v>287</v>
      </c>
      <c r="B288" s="8" t="s">
        <v>234</v>
      </c>
      <c r="C288" s="1" t="s">
        <v>361</v>
      </c>
      <c r="D288" s="1" t="s">
        <v>375</v>
      </c>
      <c r="E288" s="1" t="s">
        <v>377</v>
      </c>
      <c r="F288" s="1" t="s">
        <v>227</v>
      </c>
      <c r="G288" s="8" t="s">
        <v>0</v>
      </c>
      <c r="H288" s="1">
        <v>30</v>
      </c>
      <c r="I288" s="10">
        <f>detail_avancement!B288</f>
        <v>0</v>
      </c>
      <c r="J288" s="10">
        <f t="shared" si="0"/>
        <v>30</v>
      </c>
      <c r="K288" s="13">
        <f t="shared" si="1"/>
        <v>0</v>
      </c>
      <c r="L288" s="14">
        <f t="shared" si="2"/>
        <v>0</v>
      </c>
    </row>
    <row r="289" spans="1:12" ht="15.75" customHeight="1">
      <c r="A289" s="8">
        <v>288</v>
      </c>
      <c r="B289" s="8" t="s">
        <v>234</v>
      </c>
      <c r="C289" s="1" t="s">
        <v>361</v>
      </c>
      <c r="D289" s="1" t="s">
        <v>375</v>
      </c>
      <c r="E289" s="1" t="s">
        <v>378</v>
      </c>
      <c r="F289" s="1" t="s">
        <v>227</v>
      </c>
      <c r="G289" s="8" t="s">
        <v>0</v>
      </c>
      <c r="H289" s="1">
        <v>15</v>
      </c>
      <c r="I289" s="10">
        <f>detail_avancement!B289</f>
        <v>0</v>
      </c>
      <c r="J289" s="10">
        <f t="shared" si="0"/>
        <v>15</v>
      </c>
      <c r="K289" s="13">
        <f t="shared" si="1"/>
        <v>0</v>
      </c>
      <c r="L289" s="14">
        <f t="shared" si="2"/>
        <v>0</v>
      </c>
    </row>
    <row r="290" spans="1:12" ht="15.75" customHeight="1">
      <c r="A290" s="8">
        <v>289</v>
      </c>
      <c r="B290" s="8" t="s">
        <v>234</v>
      </c>
      <c r="C290" s="1" t="s">
        <v>361</v>
      </c>
      <c r="D290" s="1" t="s">
        <v>375</v>
      </c>
      <c r="E290" s="1" t="s">
        <v>379</v>
      </c>
      <c r="F290" s="1" t="s">
        <v>227</v>
      </c>
      <c r="G290" s="8" t="s">
        <v>0</v>
      </c>
      <c r="H290" s="1">
        <v>30</v>
      </c>
      <c r="I290" s="10">
        <f>detail_avancement!B290</f>
        <v>0</v>
      </c>
      <c r="J290" s="10">
        <f t="shared" si="0"/>
        <v>30</v>
      </c>
      <c r="K290" s="13">
        <f t="shared" si="1"/>
        <v>0</v>
      </c>
      <c r="L290" s="14">
        <f t="shared" si="2"/>
        <v>0</v>
      </c>
    </row>
    <row r="291" spans="1:12" ht="15.75" customHeight="1">
      <c r="A291" s="8">
        <v>290</v>
      </c>
      <c r="B291" s="8" t="s">
        <v>234</v>
      </c>
      <c r="C291" s="1" t="s">
        <v>361</v>
      </c>
      <c r="D291" s="1" t="s">
        <v>375</v>
      </c>
      <c r="E291" s="1" t="s">
        <v>380</v>
      </c>
      <c r="F291" s="1" t="s">
        <v>227</v>
      </c>
      <c r="G291" s="8" t="s">
        <v>0</v>
      </c>
      <c r="H291" s="1">
        <v>15</v>
      </c>
      <c r="I291" s="10">
        <f>detail_avancement!B291</f>
        <v>0</v>
      </c>
      <c r="J291" s="10">
        <f t="shared" si="0"/>
        <v>15</v>
      </c>
      <c r="K291" s="13">
        <f t="shared" si="1"/>
        <v>0</v>
      </c>
      <c r="L291" s="14">
        <f t="shared" si="2"/>
        <v>0</v>
      </c>
    </row>
    <row r="292" spans="1:12" ht="15.75" customHeight="1">
      <c r="A292" s="8">
        <v>291</v>
      </c>
      <c r="B292" s="8" t="s">
        <v>234</v>
      </c>
      <c r="C292" s="1" t="s">
        <v>361</v>
      </c>
      <c r="D292" s="1" t="s">
        <v>375</v>
      </c>
      <c r="E292" s="1" t="s">
        <v>381</v>
      </c>
      <c r="F292" s="1" t="s">
        <v>227</v>
      </c>
      <c r="G292" s="8" t="s">
        <v>0</v>
      </c>
      <c r="H292" s="1">
        <v>15</v>
      </c>
      <c r="I292" s="10">
        <f>detail_avancement!B292</f>
        <v>0</v>
      </c>
      <c r="J292" s="10">
        <f t="shared" si="0"/>
        <v>15</v>
      </c>
      <c r="K292" s="13">
        <f t="shared" si="1"/>
        <v>0</v>
      </c>
      <c r="L292" s="14">
        <f t="shared" si="2"/>
        <v>0</v>
      </c>
    </row>
    <row r="293" spans="1:12" ht="15.75" customHeight="1">
      <c r="A293" s="8">
        <v>292</v>
      </c>
      <c r="B293" s="8" t="s">
        <v>234</v>
      </c>
      <c r="C293" s="1" t="s">
        <v>361</v>
      </c>
      <c r="D293" s="1" t="s">
        <v>375</v>
      </c>
      <c r="E293" s="1" t="s">
        <v>382</v>
      </c>
      <c r="F293" s="1" t="s">
        <v>227</v>
      </c>
      <c r="G293" s="8" t="s">
        <v>0</v>
      </c>
      <c r="H293" s="1">
        <v>15</v>
      </c>
      <c r="I293" s="10">
        <f>detail_avancement!B293</f>
        <v>0</v>
      </c>
      <c r="J293" s="10">
        <f t="shared" si="0"/>
        <v>15</v>
      </c>
      <c r="K293" s="13">
        <f t="shared" si="1"/>
        <v>0</v>
      </c>
      <c r="L293" s="14">
        <f t="shared" si="2"/>
        <v>0</v>
      </c>
    </row>
    <row r="294" spans="1:12" ht="15.75" customHeight="1">
      <c r="A294" s="8">
        <v>293</v>
      </c>
      <c r="B294" s="8" t="s">
        <v>234</v>
      </c>
      <c r="C294" s="1" t="s">
        <v>361</v>
      </c>
      <c r="D294" s="1" t="s">
        <v>375</v>
      </c>
      <c r="E294" s="1" t="s">
        <v>383</v>
      </c>
      <c r="F294" s="1" t="s">
        <v>227</v>
      </c>
      <c r="G294" s="8" t="s">
        <v>0</v>
      </c>
      <c r="H294" s="1">
        <v>30</v>
      </c>
      <c r="I294" s="10">
        <f>detail_avancement!B294</f>
        <v>0</v>
      </c>
      <c r="J294" s="10">
        <f t="shared" si="0"/>
        <v>30</v>
      </c>
      <c r="K294" s="13">
        <f t="shared" si="1"/>
        <v>0</v>
      </c>
      <c r="L294" s="14">
        <f t="shared" si="2"/>
        <v>0</v>
      </c>
    </row>
    <row r="295" spans="1:12" ht="15.75" customHeight="1">
      <c r="A295" s="8">
        <v>294</v>
      </c>
      <c r="B295" s="8" t="s">
        <v>234</v>
      </c>
      <c r="C295" s="1" t="s">
        <v>361</v>
      </c>
      <c r="D295" s="1" t="s">
        <v>375</v>
      </c>
      <c r="E295" s="1" t="s">
        <v>384</v>
      </c>
      <c r="F295" s="1" t="s">
        <v>227</v>
      </c>
      <c r="G295" s="8" t="s">
        <v>0</v>
      </c>
      <c r="H295" s="1">
        <v>30</v>
      </c>
      <c r="I295" s="10">
        <f>detail_avancement!B295</f>
        <v>0</v>
      </c>
      <c r="J295" s="10">
        <f t="shared" si="0"/>
        <v>30</v>
      </c>
      <c r="K295" s="13">
        <f t="shared" si="1"/>
        <v>0</v>
      </c>
      <c r="L295" s="14">
        <f t="shared" si="2"/>
        <v>0</v>
      </c>
    </row>
    <row r="296" spans="1:12" ht="15.75" customHeight="1">
      <c r="A296" s="8">
        <v>295</v>
      </c>
      <c r="B296" s="8" t="s">
        <v>234</v>
      </c>
      <c r="C296" s="1" t="s">
        <v>361</v>
      </c>
      <c r="D296" s="1" t="s">
        <v>375</v>
      </c>
      <c r="E296" s="1" t="s">
        <v>385</v>
      </c>
      <c r="F296" s="1" t="s">
        <v>227</v>
      </c>
      <c r="G296" s="8" t="s">
        <v>0</v>
      </c>
      <c r="H296" s="1">
        <v>15</v>
      </c>
      <c r="I296" s="10">
        <f>detail_avancement!B296</f>
        <v>0</v>
      </c>
      <c r="J296" s="10">
        <f t="shared" si="0"/>
        <v>15</v>
      </c>
      <c r="K296" s="13">
        <f t="shared" si="1"/>
        <v>0</v>
      </c>
      <c r="L296" s="14">
        <f t="shared" si="2"/>
        <v>0</v>
      </c>
    </row>
    <row r="297" spans="1:12" ht="15.75" customHeight="1">
      <c r="A297" s="8">
        <v>296</v>
      </c>
      <c r="B297" s="8" t="s">
        <v>234</v>
      </c>
      <c r="C297" s="1" t="s">
        <v>361</v>
      </c>
      <c r="D297" s="1" t="s">
        <v>375</v>
      </c>
      <c r="E297" s="1" t="s">
        <v>386</v>
      </c>
      <c r="F297" s="1" t="s">
        <v>227</v>
      </c>
      <c r="G297" s="8" t="s">
        <v>0</v>
      </c>
      <c r="H297" s="1">
        <v>15</v>
      </c>
      <c r="I297" s="10">
        <f>detail_avancement!B297</f>
        <v>0</v>
      </c>
      <c r="J297" s="10">
        <f t="shared" si="0"/>
        <v>15</v>
      </c>
      <c r="K297" s="13">
        <f t="shared" si="1"/>
        <v>0</v>
      </c>
      <c r="L297" s="14">
        <f t="shared" si="2"/>
        <v>0</v>
      </c>
    </row>
    <row r="298" spans="1:12" ht="15.75" customHeight="1">
      <c r="A298" s="8">
        <v>297</v>
      </c>
      <c r="B298" s="8" t="s">
        <v>234</v>
      </c>
      <c r="C298" s="1" t="s">
        <v>361</v>
      </c>
      <c r="D298" s="1" t="s">
        <v>375</v>
      </c>
      <c r="E298" s="1" t="s">
        <v>387</v>
      </c>
      <c r="F298" s="1" t="s">
        <v>267</v>
      </c>
      <c r="G298" s="8" t="s">
        <v>0</v>
      </c>
      <c r="H298" s="1">
        <v>30</v>
      </c>
      <c r="I298" s="10">
        <f>detail_avancement!B298</f>
        <v>0</v>
      </c>
      <c r="J298" s="10">
        <f t="shared" si="0"/>
        <v>30</v>
      </c>
      <c r="K298" s="13">
        <f t="shared" si="1"/>
        <v>0</v>
      </c>
      <c r="L298" s="14">
        <f t="shared" si="2"/>
        <v>0</v>
      </c>
    </row>
    <row r="299" spans="1:12" ht="15.75" customHeight="1">
      <c r="A299" s="8">
        <v>298</v>
      </c>
      <c r="B299" s="8" t="s">
        <v>234</v>
      </c>
      <c r="C299" s="1" t="s">
        <v>361</v>
      </c>
      <c r="D299" s="1" t="s">
        <v>375</v>
      </c>
      <c r="E299" s="1" t="s">
        <v>388</v>
      </c>
      <c r="F299" s="1" t="s">
        <v>267</v>
      </c>
      <c r="G299" s="8" t="s">
        <v>0</v>
      </c>
      <c r="H299" s="1">
        <v>30</v>
      </c>
      <c r="I299" s="10">
        <f>detail_avancement!B299</f>
        <v>0</v>
      </c>
      <c r="J299" s="10">
        <f t="shared" si="0"/>
        <v>30</v>
      </c>
      <c r="K299" s="13">
        <f t="shared" si="1"/>
        <v>0</v>
      </c>
      <c r="L299" s="14">
        <f t="shared" si="2"/>
        <v>0</v>
      </c>
    </row>
    <row r="300" spans="1:12" ht="15.75" customHeight="1">
      <c r="A300" s="8">
        <v>299</v>
      </c>
      <c r="B300" s="8" t="s">
        <v>234</v>
      </c>
      <c r="C300" s="1" t="s">
        <v>361</v>
      </c>
      <c r="D300" s="1" t="s">
        <v>389</v>
      </c>
      <c r="E300" s="1" t="s">
        <v>390</v>
      </c>
      <c r="F300" s="1" t="s">
        <v>213</v>
      </c>
      <c r="G300" s="8" t="s">
        <v>0</v>
      </c>
      <c r="H300" s="1">
        <v>15</v>
      </c>
      <c r="I300" s="10">
        <f>detail_avancement!B300</f>
        <v>0</v>
      </c>
      <c r="J300" s="10">
        <f t="shared" si="0"/>
        <v>15</v>
      </c>
      <c r="K300" s="13">
        <f t="shared" si="1"/>
        <v>0</v>
      </c>
      <c r="L300" s="14">
        <f t="shared" si="2"/>
        <v>0</v>
      </c>
    </row>
    <row r="301" spans="1:12" ht="15.75" customHeight="1">
      <c r="A301" s="8">
        <v>300</v>
      </c>
      <c r="B301" s="8" t="s">
        <v>234</v>
      </c>
      <c r="C301" s="1" t="s">
        <v>361</v>
      </c>
      <c r="D301" s="1" t="s">
        <v>389</v>
      </c>
      <c r="E301" s="1" t="s">
        <v>391</v>
      </c>
      <c r="F301" s="1" t="s">
        <v>213</v>
      </c>
      <c r="G301" s="8" t="s">
        <v>0</v>
      </c>
      <c r="H301" s="1">
        <v>15</v>
      </c>
      <c r="I301" s="10">
        <f>detail_avancement!B301</f>
        <v>0</v>
      </c>
      <c r="J301" s="10">
        <f t="shared" si="0"/>
        <v>15</v>
      </c>
      <c r="K301" s="13">
        <f t="shared" si="1"/>
        <v>0</v>
      </c>
      <c r="L301" s="14">
        <f t="shared" si="2"/>
        <v>0</v>
      </c>
    </row>
    <row r="302" spans="1:12" ht="15.75" customHeight="1">
      <c r="A302" s="8">
        <v>301</v>
      </c>
      <c r="B302" s="8" t="s">
        <v>234</v>
      </c>
      <c r="C302" s="1" t="s">
        <v>361</v>
      </c>
      <c r="D302" s="1" t="s">
        <v>389</v>
      </c>
      <c r="E302" s="1" t="s">
        <v>392</v>
      </c>
      <c r="F302" s="1" t="s">
        <v>213</v>
      </c>
      <c r="G302" s="8" t="s">
        <v>0</v>
      </c>
      <c r="H302" s="1">
        <v>30</v>
      </c>
      <c r="I302" s="10">
        <f>detail_avancement!B302</f>
        <v>0</v>
      </c>
      <c r="J302" s="10">
        <f t="shared" si="0"/>
        <v>30</v>
      </c>
      <c r="K302" s="13">
        <f t="shared" si="1"/>
        <v>0</v>
      </c>
      <c r="L302" s="14">
        <f t="shared" si="2"/>
        <v>0</v>
      </c>
    </row>
    <row r="303" spans="1:12" ht="15.75" customHeight="1">
      <c r="A303" s="8">
        <v>302</v>
      </c>
      <c r="B303" s="8" t="s">
        <v>234</v>
      </c>
      <c r="C303" s="1" t="s">
        <v>361</v>
      </c>
      <c r="D303" s="1" t="s">
        <v>389</v>
      </c>
      <c r="E303" s="1" t="s">
        <v>393</v>
      </c>
      <c r="F303" s="1" t="s">
        <v>213</v>
      </c>
      <c r="G303" s="8" t="s">
        <v>0</v>
      </c>
      <c r="H303" s="1">
        <v>30</v>
      </c>
      <c r="I303" s="10">
        <f>detail_avancement!B303</f>
        <v>0</v>
      </c>
      <c r="J303" s="10">
        <f t="shared" si="0"/>
        <v>30</v>
      </c>
      <c r="K303" s="13">
        <f t="shared" si="1"/>
        <v>0</v>
      </c>
      <c r="L303" s="14">
        <f t="shared" si="2"/>
        <v>0</v>
      </c>
    </row>
    <row r="304" spans="1:12" ht="15.75" customHeight="1">
      <c r="A304" s="8">
        <v>303</v>
      </c>
      <c r="B304" s="8" t="s">
        <v>234</v>
      </c>
      <c r="C304" s="1" t="s">
        <v>361</v>
      </c>
      <c r="D304" s="1" t="s">
        <v>389</v>
      </c>
      <c r="E304" s="1" t="s">
        <v>394</v>
      </c>
      <c r="F304" s="1" t="s">
        <v>213</v>
      </c>
      <c r="G304" s="8" t="s">
        <v>0</v>
      </c>
      <c r="H304" s="1">
        <v>30</v>
      </c>
      <c r="I304" s="10">
        <f>detail_avancement!B304</f>
        <v>0</v>
      </c>
      <c r="J304" s="10">
        <f t="shared" si="0"/>
        <v>30</v>
      </c>
      <c r="K304" s="13">
        <f t="shared" si="1"/>
        <v>0</v>
      </c>
      <c r="L304" s="14">
        <f t="shared" si="2"/>
        <v>0</v>
      </c>
    </row>
    <row r="305" spans="1:12" ht="15.75" customHeight="1">
      <c r="A305" s="8">
        <v>304</v>
      </c>
      <c r="B305" s="8" t="s">
        <v>234</v>
      </c>
      <c r="C305" s="1" t="s">
        <v>361</v>
      </c>
      <c r="D305" s="1" t="s">
        <v>395</v>
      </c>
      <c r="E305" s="1" t="s">
        <v>396</v>
      </c>
      <c r="F305" s="1" t="s">
        <v>213</v>
      </c>
      <c r="G305" s="8" t="s">
        <v>0</v>
      </c>
      <c r="H305" s="1">
        <v>30</v>
      </c>
      <c r="I305" s="10">
        <f>detail_avancement!B305</f>
        <v>0</v>
      </c>
      <c r="J305" s="10">
        <f t="shared" si="0"/>
        <v>30</v>
      </c>
      <c r="K305" s="13">
        <f t="shared" si="1"/>
        <v>0</v>
      </c>
      <c r="L305" s="14">
        <f t="shared" si="2"/>
        <v>0</v>
      </c>
    </row>
    <row r="306" spans="1:12" ht="15.75" customHeight="1">
      <c r="A306" s="8">
        <v>305</v>
      </c>
      <c r="B306" s="8" t="s">
        <v>234</v>
      </c>
      <c r="C306" s="1" t="s">
        <v>361</v>
      </c>
      <c r="D306" s="1" t="s">
        <v>395</v>
      </c>
      <c r="E306" s="1" t="s">
        <v>397</v>
      </c>
      <c r="F306" s="1" t="s">
        <v>213</v>
      </c>
      <c r="G306" s="8" t="s">
        <v>0</v>
      </c>
      <c r="H306" s="1">
        <v>30</v>
      </c>
      <c r="I306" s="10">
        <f>detail_avancement!B306</f>
        <v>0</v>
      </c>
      <c r="J306" s="10">
        <f t="shared" si="0"/>
        <v>30</v>
      </c>
      <c r="K306" s="13">
        <f t="shared" si="1"/>
        <v>0</v>
      </c>
      <c r="L306" s="14">
        <f t="shared" si="2"/>
        <v>0</v>
      </c>
    </row>
    <row r="307" spans="1:12" ht="15.75" customHeight="1">
      <c r="A307" s="8">
        <v>306</v>
      </c>
      <c r="B307" s="8" t="s">
        <v>234</v>
      </c>
      <c r="C307" s="1" t="s">
        <v>361</v>
      </c>
      <c r="D307" s="1" t="s">
        <v>375</v>
      </c>
      <c r="E307" s="1" t="s">
        <v>398</v>
      </c>
      <c r="F307" s="1" t="s">
        <v>227</v>
      </c>
      <c r="G307" s="8" t="s">
        <v>0</v>
      </c>
      <c r="H307" s="1">
        <v>30</v>
      </c>
      <c r="I307" s="10">
        <f>detail_avancement!B307</f>
        <v>0</v>
      </c>
      <c r="J307" s="10">
        <f t="shared" si="0"/>
        <v>30</v>
      </c>
      <c r="K307" s="13">
        <f t="shared" si="1"/>
        <v>0</v>
      </c>
      <c r="L307" s="14">
        <f t="shared" si="2"/>
        <v>0</v>
      </c>
    </row>
    <row r="308" spans="1:12" ht="15.75" customHeight="1">
      <c r="A308" s="8">
        <v>307</v>
      </c>
      <c r="B308" s="8" t="s">
        <v>234</v>
      </c>
      <c r="C308" s="1" t="s">
        <v>361</v>
      </c>
      <c r="D308" s="1" t="s">
        <v>375</v>
      </c>
      <c r="E308" s="1" t="s">
        <v>399</v>
      </c>
      <c r="F308" s="1" t="s">
        <v>227</v>
      </c>
      <c r="G308" s="8" t="s">
        <v>0</v>
      </c>
      <c r="H308" s="1">
        <v>30</v>
      </c>
      <c r="I308" s="10">
        <f>detail_avancement!B308</f>
        <v>0</v>
      </c>
      <c r="J308" s="10">
        <f t="shared" si="0"/>
        <v>30</v>
      </c>
      <c r="K308" s="13">
        <f t="shared" si="1"/>
        <v>0</v>
      </c>
      <c r="L308" s="14">
        <f t="shared" si="2"/>
        <v>0</v>
      </c>
    </row>
    <row r="309" spans="1:12" ht="15.75" customHeight="1">
      <c r="A309" s="8">
        <v>308</v>
      </c>
      <c r="B309" s="8" t="s">
        <v>234</v>
      </c>
      <c r="C309" s="1" t="s">
        <v>361</v>
      </c>
      <c r="D309" s="1" t="s">
        <v>375</v>
      </c>
      <c r="E309" s="1" t="s">
        <v>400</v>
      </c>
      <c r="F309" s="1" t="s">
        <v>227</v>
      </c>
      <c r="G309" s="8" t="s">
        <v>0</v>
      </c>
      <c r="H309" s="1">
        <v>30</v>
      </c>
      <c r="I309" s="10">
        <f>detail_avancement!B309</f>
        <v>0</v>
      </c>
      <c r="J309" s="10">
        <f t="shared" si="0"/>
        <v>30</v>
      </c>
      <c r="K309" s="13">
        <f t="shared" si="1"/>
        <v>0</v>
      </c>
      <c r="L309" s="14">
        <f t="shared" si="2"/>
        <v>0</v>
      </c>
    </row>
    <row r="310" spans="1:12" ht="15.75" customHeight="1">
      <c r="A310" s="8">
        <v>309</v>
      </c>
      <c r="B310" s="8" t="s">
        <v>234</v>
      </c>
      <c r="C310" s="1" t="s">
        <v>361</v>
      </c>
      <c r="D310" s="1" t="s">
        <v>375</v>
      </c>
      <c r="E310" s="1" t="s">
        <v>401</v>
      </c>
      <c r="F310" s="1" t="s">
        <v>267</v>
      </c>
      <c r="G310" s="8" t="s">
        <v>0</v>
      </c>
      <c r="H310" s="1">
        <v>30</v>
      </c>
      <c r="I310" s="10">
        <f>detail_avancement!B310</f>
        <v>0</v>
      </c>
      <c r="J310" s="10">
        <f t="shared" si="0"/>
        <v>30</v>
      </c>
      <c r="K310" s="13">
        <f t="shared" si="1"/>
        <v>0</v>
      </c>
      <c r="L310" s="14">
        <f t="shared" si="2"/>
        <v>0</v>
      </c>
    </row>
    <row r="311" spans="1:12" ht="15.75" customHeight="1">
      <c r="A311" s="8">
        <v>310</v>
      </c>
      <c r="B311" s="8" t="s">
        <v>234</v>
      </c>
      <c r="C311" s="1" t="s">
        <v>361</v>
      </c>
      <c r="D311" s="1" t="s">
        <v>402</v>
      </c>
      <c r="E311" s="1" t="s">
        <v>403</v>
      </c>
      <c r="F311" s="1" t="s">
        <v>227</v>
      </c>
      <c r="G311" s="8" t="s">
        <v>0</v>
      </c>
      <c r="H311" s="1">
        <v>30</v>
      </c>
      <c r="I311" s="10">
        <f>detail_avancement!B311</f>
        <v>0</v>
      </c>
      <c r="J311" s="10">
        <f t="shared" si="0"/>
        <v>30</v>
      </c>
      <c r="K311" s="13">
        <f t="shared" si="1"/>
        <v>0</v>
      </c>
      <c r="L311" s="14">
        <f t="shared" si="2"/>
        <v>0</v>
      </c>
    </row>
    <row r="312" spans="1:12" ht="15.75" customHeight="1">
      <c r="A312" s="8">
        <v>311</v>
      </c>
      <c r="B312" s="8" t="s">
        <v>234</v>
      </c>
      <c r="C312" s="1" t="s">
        <v>361</v>
      </c>
      <c r="D312" s="1" t="s">
        <v>402</v>
      </c>
      <c r="E312" s="1" t="s">
        <v>404</v>
      </c>
      <c r="F312" s="1" t="s">
        <v>227</v>
      </c>
      <c r="G312" s="8" t="s">
        <v>0</v>
      </c>
      <c r="H312" s="1">
        <v>30</v>
      </c>
      <c r="I312" s="10">
        <f>detail_avancement!B312</f>
        <v>0</v>
      </c>
      <c r="J312" s="10">
        <f t="shared" si="0"/>
        <v>30</v>
      </c>
      <c r="K312" s="13">
        <f t="shared" si="1"/>
        <v>0</v>
      </c>
      <c r="L312" s="14">
        <f t="shared" si="2"/>
        <v>0</v>
      </c>
    </row>
    <row r="313" spans="1:12" ht="15.75" customHeight="1">
      <c r="A313" s="8">
        <v>312</v>
      </c>
      <c r="B313" s="8" t="s">
        <v>234</v>
      </c>
      <c r="C313" s="1" t="s">
        <v>361</v>
      </c>
      <c r="D313" s="1" t="s">
        <v>402</v>
      </c>
      <c r="E313" s="1" t="s">
        <v>405</v>
      </c>
      <c r="F313" s="1" t="s">
        <v>227</v>
      </c>
      <c r="G313" s="8" t="s">
        <v>0</v>
      </c>
      <c r="H313" s="1">
        <v>30</v>
      </c>
      <c r="I313" s="10">
        <f>detail_avancement!B313</f>
        <v>0</v>
      </c>
      <c r="J313" s="10">
        <f t="shared" si="0"/>
        <v>30</v>
      </c>
      <c r="K313" s="13">
        <f t="shared" si="1"/>
        <v>0</v>
      </c>
      <c r="L313" s="14">
        <f t="shared" si="2"/>
        <v>0</v>
      </c>
    </row>
    <row r="314" spans="1:12" ht="15.75" customHeight="1">
      <c r="A314" s="8">
        <v>313</v>
      </c>
      <c r="B314" s="8" t="s">
        <v>234</v>
      </c>
      <c r="C314" s="1" t="s">
        <v>361</v>
      </c>
      <c r="D314" s="1" t="s">
        <v>367</v>
      </c>
      <c r="E314" s="1" t="s">
        <v>406</v>
      </c>
      <c r="F314" s="1" t="s">
        <v>213</v>
      </c>
      <c r="G314" s="8" t="s">
        <v>0</v>
      </c>
      <c r="H314" s="1">
        <v>30</v>
      </c>
      <c r="I314" s="10">
        <f>detail_avancement!B314</f>
        <v>0</v>
      </c>
      <c r="J314" s="10">
        <f t="shared" si="0"/>
        <v>30</v>
      </c>
      <c r="K314" s="13">
        <f t="shared" si="1"/>
        <v>0</v>
      </c>
      <c r="L314" s="14">
        <f t="shared" si="2"/>
        <v>0</v>
      </c>
    </row>
    <row r="315" spans="1:12" ht="15.75" customHeight="1">
      <c r="A315" s="8">
        <v>314</v>
      </c>
      <c r="B315" s="8" t="s">
        <v>234</v>
      </c>
      <c r="C315" s="1" t="s">
        <v>361</v>
      </c>
      <c r="D315" s="1" t="s">
        <v>367</v>
      </c>
      <c r="E315" s="1" t="s">
        <v>407</v>
      </c>
      <c r="F315" s="1" t="s">
        <v>213</v>
      </c>
      <c r="G315" s="8" t="s">
        <v>0</v>
      </c>
      <c r="H315" s="1">
        <v>30</v>
      </c>
      <c r="I315" s="10">
        <f>detail_avancement!B315</f>
        <v>0</v>
      </c>
      <c r="J315" s="10">
        <f t="shared" si="0"/>
        <v>30</v>
      </c>
      <c r="K315" s="13">
        <f t="shared" si="1"/>
        <v>0</v>
      </c>
      <c r="L315" s="14">
        <f t="shared" si="2"/>
        <v>0</v>
      </c>
    </row>
    <row r="316" spans="1:12" ht="15.75" customHeight="1">
      <c r="A316" s="8">
        <v>315</v>
      </c>
      <c r="B316" s="8" t="s">
        <v>234</v>
      </c>
      <c r="C316" s="1" t="s">
        <v>361</v>
      </c>
      <c r="D316" s="1" t="s">
        <v>367</v>
      </c>
      <c r="E316" s="1" t="s">
        <v>408</v>
      </c>
      <c r="F316" s="1" t="s">
        <v>213</v>
      </c>
      <c r="G316" s="8" t="s">
        <v>0</v>
      </c>
      <c r="H316" s="1">
        <v>30</v>
      </c>
      <c r="I316" s="10">
        <f>detail_avancement!B316</f>
        <v>0</v>
      </c>
      <c r="J316" s="10">
        <f t="shared" si="0"/>
        <v>30</v>
      </c>
      <c r="K316" s="13">
        <f t="shared" si="1"/>
        <v>0</v>
      </c>
      <c r="L316" s="14">
        <f t="shared" si="2"/>
        <v>0</v>
      </c>
    </row>
    <row r="317" spans="1:12" ht="15.75" customHeight="1">
      <c r="A317" s="8">
        <v>316</v>
      </c>
      <c r="B317" s="8" t="s">
        <v>234</v>
      </c>
      <c r="C317" s="1" t="s">
        <v>361</v>
      </c>
      <c r="D317" s="1" t="s">
        <v>402</v>
      </c>
      <c r="E317" s="1" t="s">
        <v>313</v>
      </c>
      <c r="F317" s="1" t="s">
        <v>267</v>
      </c>
      <c r="G317" s="8" t="s">
        <v>0</v>
      </c>
      <c r="H317" s="1">
        <v>30</v>
      </c>
      <c r="I317" s="10">
        <f>detail_avancement!B317</f>
        <v>0</v>
      </c>
      <c r="J317" s="10">
        <f t="shared" si="0"/>
        <v>30</v>
      </c>
      <c r="K317" s="13">
        <f t="shared" si="1"/>
        <v>0</v>
      </c>
      <c r="L317" s="14">
        <f t="shared" si="2"/>
        <v>0</v>
      </c>
    </row>
    <row r="318" spans="1:12" ht="15.75" customHeight="1">
      <c r="A318" s="8">
        <v>317</v>
      </c>
      <c r="B318" s="8" t="s">
        <v>234</v>
      </c>
      <c r="C318" s="1" t="s">
        <v>361</v>
      </c>
      <c r="D318" s="1" t="s">
        <v>402</v>
      </c>
      <c r="E318" s="1" t="s">
        <v>409</v>
      </c>
      <c r="F318" s="1" t="s">
        <v>267</v>
      </c>
      <c r="G318" s="8" t="s">
        <v>0</v>
      </c>
      <c r="H318" s="1">
        <v>30</v>
      </c>
      <c r="I318" s="10">
        <f>detail_avancement!B318</f>
        <v>0</v>
      </c>
      <c r="J318" s="10">
        <f t="shared" si="0"/>
        <v>30</v>
      </c>
      <c r="K318" s="13">
        <f t="shared" si="1"/>
        <v>0</v>
      </c>
      <c r="L318" s="14">
        <f t="shared" si="2"/>
        <v>0</v>
      </c>
    </row>
    <row r="319" spans="1:12" ht="15.75" customHeight="1">
      <c r="A319" s="8">
        <v>318</v>
      </c>
      <c r="B319" s="8" t="s">
        <v>234</v>
      </c>
      <c r="C319" s="1" t="s">
        <v>361</v>
      </c>
      <c r="D319" s="1" t="s">
        <v>410</v>
      </c>
      <c r="E319" s="1" t="s">
        <v>411</v>
      </c>
      <c r="F319" s="1" t="s">
        <v>106</v>
      </c>
      <c r="G319" s="8" t="s">
        <v>0</v>
      </c>
      <c r="H319" s="1">
        <v>30</v>
      </c>
      <c r="I319" s="10">
        <f>detail_avancement!B319</f>
        <v>0</v>
      </c>
      <c r="J319" s="10">
        <f t="shared" si="0"/>
        <v>30</v>
      </c>
      <c r="K319" s="13">
        <f t="shared" si="1"/>
        <v>0</v>
      </c>
      <c r="L319" s="14">
        <f t="shared" si="2"/>
        <v>0</v>
      </c>
    </row>
    <row r="320" spans="1:12" ht="15.75" customHeight="1">
      <c r="A320" s="8">
        <v>319</v>
      </c>
      <c r="B320" s="8" t="s">
        <v>234</v>
      </c>
      <c r="C320" s="1" t="s">
        <v>361</v>
      </c>
      <c r="D320" s="1" t="s">
        <v>410</v>
      </c>
      <c r="E320" s="1" t="s">
        <v>412</v>
      </c>
      <c r="F320" s="1" t="s">
        <v>62</v>
      </c>
      <c r="G320" s="8" t="s">
        <v>0</v>
      </c>
      <c r="H320" s="1">
        <v>15</v>
      </c>
      <c r="I320" s="10">
        <f>detail_avancement!B320</f>
        <v>0</v>
      </c>
      <c r="J320" s="10">
        <f t="shared" si="0"/>
        <v>15</v>
      </c>
      <c r="K320" s="13">
        <f t="shared" si="1"/>
        <v>0</v>
      </c>
      <c r="L320" s="14">
        <f t="shared" si="2"/>
        <v>0</v>
      </c>
    </row>
    <row r="321" spans="1:12" ht="15.75" customHeight="1">
      <c r="A321" s="8">
        <v>320</v>
      </c>
      <c r="B321" s="8" t="s">
        <v>234</v>
      </c>
      <c r="C321" s="1" t="s">
        <v>361</v>
      </c>
      <c r="D321" s="1" t="s">
        <v>410</v>
      </c>
      <c r="E321" s="1" t="s">
        <v>413</v>
      </c>
      <c r="F321" s="1" t="s">
        <v>62</v>
      </c>
      <c r="G321" s="8" t="s">
        <v>0</v>
      </c>
      <c r="H321" s="1">
        <v>15</v>
      </c>
      <c r="I321" s="10">
        <f>detail_avancement!B321</f>
        <v>0</v>
      </c>
      <c r="J321" s="10">
        <f t="shared" si="0"/>
        <v>15</v>
      </c>
      <c r="K321" s="13">
        <f t="shared" si="1"/>
        <v>0</v>
      </c>
      <c r="L321" s="14">
        <f t="shared" si="2"/>
        <v>0</v>
      </c>
    </row>
    <row r="322" spans="1:12" ht="15.75" customHeight="1">
      <c r="A322" s="8">
        <v>321</v>
      </c>
      <c r="B322" s="8" t="s">
        <v>234</v>
      </c>
      <c r="C322" s="1" t="s">
        <v>414</v>
      </c>
      <c r="D322" s="1" t="s">
        <v>415</v>
      </c>
      <c r="E322" s="1" t="s">
        <v>416</v>
      </c>
      <c r="F322" s="1" t="s">
        <v>213</v>
      </c>
      <c r="G322" s="8" t="s">
        <v>0</v>
      </c>
      <c r="H322" s="1">
        <v>30</v>
      </c>
      <c r="I322" s="10">
        <f>detail_avancement!B322</f>
        <v>0</v>
      </c>
      <c r="J322" s="10">
        <f t="shared" si="0"/>
        <v>30</v>
      </c>
      <c r="K322" s="13">
        <f t="shared" si="1"/>
        <v>0</v>
      </c>
      <c r="L322" s="14">
        <f t="shared" si="2"/>
        <v>0</v>
      </c>
    </row>
    <row r="323" spans="1:12" ht="15.75" customHeight="1">
      <c r="A323" s="8">
        <v>322</v>
      </c>
      <c r="B323" s="8" t="s">
        <v>234</v>
      </c>
      <c r="C323" s="1" t="s">
        <v>414</v>
      </c>
      <c r="D323" s="1" t="s">
        <v>415</v>
      </c>
      <c r="E323" s="1" t="s">
        <v>417</v>
      </c>
      <c r="F323" s="1" t="s">
        <v>213</v>
      </c>
      <c r="G323" s="8" t="s">
        <v>0</v>
      </c>
      <c r="H323" s="1">
        <v>30</v>
      </c>
      <c r="I323" s="10">
        <f>detail_avancement!B323</f>
        <v>0</v>
      </c>
      <c r="J323" s="10">
        <f t="shared" si="0"/>
        <v>30</v>
      </c>
      <c r="K323" s="13">
        <f t="shared" si="1"/>
        <v>0</v>
      </c>
      <c r="L323" s="14">
        <f t="shared" si="2"/>
        <v>0</v>
      </c>
    </row>
    <row r="324" spans="1:12" ht="15.75" customHeight="1">
      <c r="A324" s="8">
        <v>323</v>
      </c>
      <c r="B324" s="8" t="s">
        <v>234</v>
      </c>
      <c r="C324" s="1" t="s">
        <v>414</v>
      </c>
      <c r="D324" s="1" t="s">
        <v>415</v>
      </c>
      <c r="E324" s="1" t="s">
        <v>418</v>
      </c>
      <c r="F324" s="1" t="s">
        <v>213</v>
      </c>
      <c r="G324" s="8" t="s">
        <v>0</v>
      </c>
      <c r="H324" s="1">
        <v>30</v>
      </c>
      <c r="I324" s="10">
        <f>detail_avancement!B324</f>
        <v>0</v>
      </c>
      <c r="J324" s="10">
        <f t="shared" si="0"/>
        <v>30</v>
      </c>
      <c r="K324" s="13">
        <f t="shared" si="1"/>
        <v>0</v>
      </c>
      <c r="L324" s="14">
        <f t="shared" si="2"/>
        <v>0</v>
      </c>
    </row>
    <row r="325" spans="1:12" ht="15.75" customHeight="1">
      <c r="A325" s="8">
        <v>324</v>
      </c>
      <c r="B325" s="8" t="s">
        <v>234</v>
      </c>
      <c r="C325" s="1" t="s">
        <v>414</v>
      </c>
      <c r="D325" s="1" t="s">
        <v>415</v>
      </c>
      <c r="E325" s="1" t="s">
        <v>419</v>
      </c>
      <c r="F325" s="1" t="s">
        <v>213</v>
      </c>
      <c r="G325" s="8" t="s">
        <v>0</v>
      </c>
      <c r="H325" s="1">
        <v>30</v>
      </c>
      <c r="I325" s="10">
        <f>detail_avancement!B325</f>
        <v>0</v>
      </c>
      <c r="J325" s="10">
        <f t="shared" si="0"/>
        <v>30</v>
      </c>
      <c r="K325" s="13">
        <f t="shared" si="1"/>
        <v>0</v>
      </c>
      <c r="L325" s="14">
        <f t="shared" si="2"/>
        <v>0</v>
      </c>
    </row>
    <row r="326" spans="1:12" ht="15.75" customHeight="1">
      <c r="A326" s="8">
        <v>325</v>
      </c>
      <c r="B326" s="8" t="s">
        <v>234</v>
      </c>
      <c r="C326" s="1" t="s">
        <v>414</v>
      </c>
      <c r="D326" s="1" t="s">
        <v>420</v>
      </c>
      <c r="E326" s="1" t="s">
        <v>421</v>
      </c>
      <c r="F326" s="1" t="s">
        <v>213</v>
      </c>
      <c r="G326" s="8" t="s">
        <v>0</v>
      </c>
      <c r="H326" s="1">
        <v>30</v>
      </c>
      <c r="I326" s="10">
        <f>detail_avancement!B326</f>
        <v>0</v>
      </c>
      <c r="J326" s="10">
        <f t="shared" si="0"/>
        <v>30</v>
      </c>
      <c r="K326" s="13">
        <f t="shared" si="1"/>
        <v>0</v>
      </c>
      <c r="L326" s="14">
        <f t="shared" si="2"/>
        <v>0</v>
      </c>
    </row>
    <row r="327" spans="1:12" ht="15.75" customHeight="1">
      <c r="A327" s="8">
        <v>326</v>
      </c>
      <c r="B327" s="8" t="s">
        <v>234</v>
      </c>
      <c r="C327" s="1" t="s">
        <v>414</v>
      </c>
      <c r="D327" s="1" t="s">
        <v>420</v>
      </c>
      <c r="E327" s="1" t="s">
        <v>422</v>
      </c>
      <c r="F327" s="1" t="s">
        <v>213</v>
      </c>
      <c r="G327" s="8" t="s">
        <v>0</v>
      </c>
      <c r="H327" s="1">
        <v>30</v>
      </c>
      <c r="I327" s="10">
        <f>detail_avancement!B327</f>
        <v>0</v>
      </c>
      <c r="J327" s="10">
        <f t="shared" si="0"/>
        <v>30</v>
      </c>
      <c r="K327" s="13">
        <f t="shared" si="1"/>
        <v>0</v>
      </c>
      <c r="L327" s="14">
        <f t="shared" si="2"/>
        <v>0</v>
      </c>
    </row>
    <row r="328" spans="1:12" ht="15.75" customHeight="1">
      <c r="A328" s="8">
        <v>327</v>
      </c>
      <c r="B328" s="8" t="s">
        <v>234</v>
      </c>
      <c r="C328" s="1" t="s">
        <v>414</v>
      </c>
      <c r="D328" s="1" t="s">
        <v>420</v>
      </c>
      <c r="E328" s="1" t="s">
        <v>423</v>
      </c>
      <c r="F328" s="1" t="s">
        <v>213</v>
      </c>
      <c r="G328" s="8" t="s">
        <v>0</v>
      </c>
      <c r="H328" s="1">
        <v>30</v>
      </c>
      <c r="I328" s="10">
        <f>detail_avancement!B328</f>
        <v>0</v>
      </c>
      <c r="J328" s="10">
        <f t="shared" si="0"/>
        <v>30</v>
      </c>
      <c r="K328" s="13">
        <f t="shared" si="1"/>
        <v>0</v>
      </c>
      <c r="L328" s="14">
        <f t="shared" si="2"/>
        <v>0</v>
      </c>
    </row>
    <row r="329" spans="1:12" ht="15.75" customHeight="1">
      <c r="A329" s="8">
        <v>328</v>
      </c>
      <c r="B329" s="8" t="s">
        <v>234</v>
      </c>
      <c r="C329" s="1" t="s">
        <v>414</v>
      </c>
      <c r="D329" s="1" t="s">
        <v>424</v>
      </c>
      <c r="E329" s="1" t="s">
        <v>425</v>
      </c>
      <c r="F329" s="1" t="s">
        <v>213</v>
      </c>
      <c r="G329" s="8" t="s">
        <v>0</v>
      </c>
      <c r="H329" s="1">
        <v>30</v>
      </c>
      <c r="I329" s="10">
        <f>detail_avancement!B329</f>
        <v>0</v>
      </c>
      <c r="J329" s="10">
        <f t="shared" si="0"/>
        <v>30</v>
      </c>
      <c r="K329" s="13">
        <f t="shared" si="1"/>
        <v>0</v>
      </c>
      <c r="L329" s="14">
        <f t="shared" si="2"/>
        <v>0</v>
      </c>
    </row>
    <row r="330" spans="1:12" ht="15.75" customHeight="1">
      <c r="A330" s="8">
        <v>329</v>
      </c>
      <c r="B330" s="8" t="s">
        <v>234</v>
      </c>
      <c r="C330" s="1" t="s">
        <v>414</v>
      </c>
      <c r="D330" s="1" t="s">
        <v>424</v>
      </c>
      <c r="E330" s="1" t="s">
        <v>426</v>
      </c>
      <c r="F330" s="1" t="s">
        <v>213</v>
      </c>
      <c r="G330" s="8" t="s">
        <v>0</v>
      </c>
      <c r="H330" s="1">
        <v>30</v>
      </c>
      <c r="I330" s="10">
        <f>detail_avancement!B330</f>
        <v>0</v>
      </c>
      <c r="J330" s="10">
        <f t="shared" si="0"/>
        <v>30</v>
      </c>
      <c r="K330" s="13">
        <f t="shared" si="1"/>
        <v>0</v>
      </c>
      <c r="L330" s="14">
        <f t="shared" si="2"/>
        <v>0</v>
      </c>
    </row>
    <row r="331" spans="1:12" ht="15.75" customHeight="1">
      <c r="A331" s="8">
        <v>330</v>
      </c>
      <c r="B331" s="8" t="s">
        <v>234</v>
      </c>
      <c r="C331" s="1" t="s">
        <v>414</v>
      </c>
      <c r="D331" s="1" t="s">
        <v>424</v>
      </c>
      <c r="E331" s="1" t="s">
        <v>427</v>
      </c>
      <c r="F331" s="1" t="s">
        <v>213</v>
      </c>
      <c r="G331" s="8" t="s">
        <v>0</v>
      </c>
      <c r="H331" s="1">
        <v>30</v>
      </c>
      <c r="I331" s="10">
        <f>detail_avancement!B331</f>
        <v>0</v>
      </c>
      <c r="J331" s="10">
        <f t="shared" si="0"/>
        <v>30</v>
      </c>
      <c r="K331" s="13">
        <f t="shared" si="1"/>
        <v>0</v>
      </c>
      <c r="L331" s="14">
        <f t="shared" si="2"/>
        <v>0</v>
      </c>
    </row>
    <row r="332" spans="1:12" ht="15.75" customHeight="1">
      <c r="A332" s="8">
        <v>331</v>
      </c>
      <c r="B332" s="8" t="s">
        <v>234</v>
      </c>
      <c r="C332" s="1" t="s">
        <v>414</v>
      </c>
      <c r="D332" s="1" t="s">
        <v>428</v>
      </c>
      <c r="E332" s="1" t="s">
        <v>383</v>
      </c>
      <c r="F332" s="1" t="s">
        <v>213</v>
      </c>
      <c r="G332" s="8" t="s">
        <v>0</v>
      </c>
      <c r="H332" s="1">
        <v>30</v>
      </c>
      <c r="I332" s="10">
        <f>detail_avancement!B332</f>
        <v>0</v>
      </c>
      <c r="J332" s="10">
        <f t="shared" si="0"/>
        <v>30</v>
      </c>
      <c r="K332" s="13">
        <f t="shared" si="1"/>
        <v>0</v>
      </c>
      <c r="L332" s="14">
        <f t="shared" si="2"/>
        <v>0</v>
      </c>
    </row>
    <row r="333" spans="1:12" ht="15.75" customHeight="1">
      <c r="A333" s="8">
        <v>332</v>
      </c>
      <c r="B333" s="8" t="s">
        <v>234</v>
      </c>
      <c r="C333" s="1" t="s">
        <v>414</v>
      </c>
      <c r="D333" s="1" t="s">
        <v>428</v>
      </c>
      <c r="E333" s="1" t="s">
        <v>429</v>
      </c>
      <c r="F333" s="1" t="s">
        <v>213</v>
      </c>
      <c r="G333" s="8" t="s">
        <v>0</v>
      </c>
      <c r="H333" s="1">
        <v>30</v>
      </c>
      <c r="I333" s="10">
        <f>detail_avancement!B333</f>
        <v>0</v>
      </c>
      <c r="J333" s="10">
        <f t="shared" si="0"/>
        <v>30</v>
      </c>
      <c r="K333" s="13">
        <f t="shared" si="1"/>
        <v>0</v>
      </c>
      <c r="L333" s="14">
        <f t="shared" si="2"/>
        <v>0</v>
      </c>
    </row>
    <row r="334" spans="1:12" ht="15.75" customHeight="1">
      <c r="A334" s="8">
        <v>333</v>
      </c>
      <c r="B334" s="8" t="s">
        <v>234</v>
      </c>
      <c r="C334" s="1" t="s">
        <v>414</v>
      </c>
      <c r="D334" s="1" t="s">
        <v>428</v>
      </c>
      <c r="E334" s="1" t="s">
        <v>430</v>
      </c>
      <c r="F334" s="1" t="s">
        <v>213</v>
      </c>
      <c r="G334" s="8" t="s">
        <v>0</v>
      </c>
      <c r="H334" s="1">
        <v>30</v>
      </c>
      <c r="I334" s="10">
        <f>detail_avancement!B334</f>
        <v>0</v>
      </c>
      <c r="J334" s="10">
        <f t="shared" si="0"/>
        <v>30</v>
      </c>
      <c r="K334" s="13">
        <f t="shared" si="1"/>
        <v>0</v>
      </c>
      <c r="L334" s="14">
        <f t="shared" si="2"/>
        <v>0</v>
      </c>
    </row>
    <row r="335" spans="1:12" ht="15.75" customHeight="1">
      <c r="A335" s="8">
        <v>334</v>
      </c>
      <c r="B335" s="8" t="s">
        <v>234</v>
      </c>
      <c r="C335" s="1" t="s">
        <v>414</v>
      </c>
      <c r="D335" s="1" t="s">
        <v>428</v>
      </c>
      <c r="E335" s="1" t="s">
        <v>431</v>
      </c>
      <c r="F335" s="1" t="s">
        <v>213</v>
      </c>
      <c r="G335" s="8" t="s">
        <v>0</v>
      </c>
      <c r="H335" s="1">
        <v>30</v>
      </c>
      <c r="I335" s="10">
        <f>detail_avancement!B335</f>
        <v>0</v>
      </c>
      <c r="J335" s="10">
        <f t="shared" si="0"/>
        <v>30</v>
      </c>
      <c r="K335" s="13">
        <f t="shared" si="1"/>
        <v>0</v>
      </c>
      <c r="L335" s="14">
        <f t="shared" si="2"/>
        <v>0</v>
      </c>
    </row>
    <row r="336" spans="1:12" ht="15.75" customHeight="1">
      <c r="A336" s="8">
        <v>335</v>
      </c>
      <c r="B336" s="8" t="s">
        <v>234</v>
      </c>
      <c r="C336" s="1" t="s">
        <v>414</v>
      </c>
      <c r="D336" s="1" t="s">
        <v>428</v>
      </c>
      <c r="E336" s="1" t="s">
        <v>432</v>
      </c>
      <c r="F336" s="1" t="s">
        <v>213</v>
      </c>
      <c r="G336" s="8" t="s">
        <v>0</v>
      </c>
      <c r="H336" s="1">
        <v>30</v>
      </c>
      <c r="I336" s="10">
        <f>detail_avancement!B336</f>
        <v>0</v>
      </c>
      <c r="J336" s="10">
        <f t="shared" si="0"/>
        <v>30</v>
      </c>
      <c r="K336" s="13">
        <f t="shared" si="1"/>
        <v>0</v>
      </c>
      <c r="L336" s="14">
        <f t="shared" si="2"/>
        <v>0</v>
      </c>
    </row>
    <row r="337" spans="1:12" ht="15.75" customHeight="1">
      <c r="A337" s="8">
        <v>336</v>
      </c>
      <c r="B337" s="8" t="s">
        <v>234</v>
      </c>
      <c r="C337" s="1" t="s">
        <v>414</v>
      </c>
      <c r="D337" s="1" t="s">
        <v>433</v>
      </c>
      <c r="E337" s="1" t="s">
        <v>434</v>
      </c>
      <c r="F337" s="1" t="s">
        <v>213</v>
      </c>
      <c r="G337" s="8" t="s">
        <v>0</v>
      </c>
      <c r="H337" s="1">
        <v>30</v>
      </c>
      <c r="I337" s="10">
        <f>detail_avancement!B337</f>
        <v>0</v>
      </c>
      <c r="J337" s="10">
        <f t="shared" si="0"/>
        <v>30</v>
      </c>
      <c r="K337" s="13">
        <f t="shared" si="1"/>
        <v>0</v>
      </c>
      <c r="L337" s="14">
        <f t="shared" si="2"/>
        <v>0</v>
      </c>
    </row>
    <row r="338" spans="1:12" ht="15.75" customHeight="1">
      <c r="A338" s="8">
        <v>337</v>
      </c>
      <c r="B338" s="8" t="s">
        <v>234</v>
      </c>
      <c r="C338" s="1" t="s">
        <v>414</v>
      </c>
      <c r="D338" s="1" t="s">
        <v>433</v>
      </c>
      <c r="E338" s="1" t="s">
        <v>435</v>
      </c>
      <c r="F338" s="1" t="s">
        <v>213</v>
      </c>
      <c r="G338" s="8" t="s">
        <v>0</v>
      </c>
      <c r="H338" s="1">
        <v>30</v>
      </c>
      <c r="I338" s="10">
        <f>detail_avancement!B338</f>
        <v>0</v>
      </c>
      <c r="J338" s="10">
        <f t="shared" si="0"/>
        <v>30</v>
      </c>
      <c r="K338" s="13">
        <f t="shared" si="1"/>
        <v>0</v>
      </c>
      <c r="L338" s="14">
        <f t="shared" si="2"/>
        <v>0</v>
      </c>
    </row>
    <row r="339" spans="1:12" ht="15.75" customHeight="1">
      <c r="A339" s="8">
        <v>338</v>
      </c>
      <c r="B339" s="8" t="s">
        <v>234</v>
      </c>
      <c r="C339" s="1" t="s">
        <v>414</v>
      </c>
      <c r="D339" s="1" t="s">
        <v>433</v>
      </c>
      <c r="E339" s="1" t="s">
        <v>436</v>
      </c>
      <c r="F339" s="1" t="s">
        <v>213</v>
      </c>
      <c r="G339" s="8" t="s">
        <v>0</v>
      </c>
      <c r="H339" s="1">
        <v>30</v>
      </c>
      <c r="I339" s="10">
        <f>detail_avancement!B339</f>
        <v>0</v>
      </c>
      <c r="J339" s="10">
        <f t="shared" si="0"/>
        <v>30</v>
      </c>
      <c r="K339" s="13">
        <f t="shared" si="1"/>
        <v>0</v>
      </c>
      <c r="L339" s="14">
        <f t="shared" si="2"/>
        <v>0</v>
      </c>
    </row>
    <row r="340" spans="1:12" ht="15.75" customHeight="1">
      <c r="A340" s="8">
        <v>339</v>
      </c>
      <c r="B340" s="8" t="s">
        <v>234</v>
      </c>
      <c r="C340" s="1" t="s">
        <v>414</v>
      </c>
      <c r="D340" s="1" t="s">
        <v>433</v>
      </c>
      <c r="E340" s="1" t="s">
        <v>437</v>
      </c>
      <c r="F340" s="1" t="s">
        <v>213</v>
      </c>
      <c r="G340" s="8" t="s">
        <v>0</v>
      </c>
      <c r="H340" s="1">
        <v>30</v>
      </c>
      <c r="I340" s="10">
        <f>detail_avancement!B340</f>
        <v>0</v>
      </c>
      <c r="J340" s="10">
        <f t="shared" si="0"/>
        <v>30</v>
      </c>
      <c r="K340" s="13">
        <f t="shared" si="1"/>
        <v>0</v>
      </c>
      <c r="L340" s="14">
        <f t="shared" si="2"/>
        <v>0</v>
      </c>
    </row>
    <row r="341" spans="1:12" ht="15.75" customHeight="1">
      <c r="A341" s="8">
        <v>340</v>
      </c>
      <c r="B341" s="8" t="s">
        <v>234</v>
      </c>
      <c r="C341" s="1" t="s">
        <v>414</v>
      </c>
      <c r="D341" s="1" t="s">
        <v>433</v>
      </c>
      <c r="E341" s="1" t="s">
        <v>438</v>
      </c>
      <c r="F341" s="1" t="s">
        <v>213</v>
      </c>
      <c r="G341" s="8" t="s">
        <v>0</v>
      </c>
      <c r="H341" s="1">
        <v>30</v>
      </c>
      <c r="I341" s="10">
        <f>detail_avancement!B341</f>
        <v>0</v>
      </c>
      <c r="J341" s="10">
        <f t="shared" si="0"/>
        <v>30</v>
      </c>
      <c r="K341" s="13">
        <f t="shared" si="1"/>
        <v>0</v>
      </c>
      <c r="L341" s="14">
        <f t="shared" si="2"/>
        <v>0</v>
      </c>
    </row>
    <row r="342" spans="1:12" ht="15.75" customHeight="1">
      <c r="A342" s="8">
        <v>341</v>
      </c>
      <c r="B342" s="8" t="s">
        <v>234</v>
      </c>
      <c r="C342" s="1" t="s">
        <v>414</v>
      </c>
      <c r="D342" s="1" t="s">
        <v>439</v>
      </c>
      <c r="E342" s="1" t="s">
        <v>440</v>
      </c>
      <c r="F342" s="1" t="s">
        <v>213</v>
      </c>
      <c r="G342" s="8" t="s">
        <v>0</v>
      </c>
      <c r="H342" s="1">
        <v>30</v>
      </c>
      <c r="I342" s="10">
        <f>detail_avancement!B342</f>
        <v>0</v>
      </c>
      <c r="J342" s="10">
        <f t="shared" si="0"/>
        <v>30</v>
      </c>
      <c r="K342" s="13">
        <f t="shared" si="1"/>
        <v>0</v>
      </c>
      <c r="L342" s="14">
        <f t="shared" si="2"/>
        <v>0</v>
      </c>
    </row>
    <row r="343" spans="1:12" ht="15.75" customHeight="1">
      <c r="A343" s="8">
        <v>342</v>
      </c>
      <c r="B343" s="8" t="s">
        <v>234</v>
      </c>
      <c r="C343" s="1" t="s">
        <v>414</v>
      </c>
      <c r="D343" s="1" t="s">
        <v>439</v>
      </c>
      <c r="E343" s="1" t="s">
        <v>441</v>
      </c>
      <c r="F343" s="1" t="s">
        <v>213</v>
      </c>
      <c r="G343" s="8" t="s">
        <v>0</v>
      </c>
      <c r="H343" s="1">
        <v>30</v>
      </c>
      <c r="I343" s="10">
        <f>detail_avancement!B343</f>
        <v>0</v>
      </c>
      <c r="J343" s="10">
        <f t="shared" si="0"/>
        <v>30</v>
      </c>
      <c r="K343" s="13">
        <f t="shared" si="1"/>
        <v>0</v>
      </c>
      <c r="L343" s="14">
        <f t="shared" si="2"/>
        <v>0</v>
      </c>
    </row>
    <row r="344" spans="1:12" ht="15.75" customHeight="1">
      <c r="A344" s="8">
        <v>343</v>
      </c>
      <c r="B344" s="8" t="s">
        <v>234</v>
      </c>
      <c r="C344" s="1" t="s">
        <v>414</v>
      </c>
      <c r="D344" s="1" t="s">
        <v>439</v>
      </c>
      <c r="E344" s="1" t="s">
        <v>442</v>
      </c>
      <c r="F344" s="1" t="s">
        <v>213</v>
      </c>
      <c r="G344" s="8" t="s">
        <v>0</v>
      </c>
      <c r="H344" s="1">
        <v>30</v>
      </c>
      <c r="I344" s="10">
        <f>detail_avancement!B344</f>
        <v>0</v>
      </c>
      <c r="J344" s="10">
        <f t="shared" si="0"/>
        <v>30</v>
      </c>
      <c r="K344" s="13">
        <f t="shared" si="1"/>
        <v>0</v>
      </c>
      <c r="L344" s="14">
        <f t="shared" si="2"/>
        <v>0</v>
      </c>
    </row>
    <row r="345" spans="1:12" ht="15.75" customHeight="1">
      <c r="A345" s="8">
        <v>344</v>
      </c>
      <c r="B345" s="8" t="s">
        <v>234</v>
      </c>
      <c r="C345" s="1" t="s">
        <v>414</v>
      </c>
      <c r="D345" s="1" t="s">
        <v>439</v>
      </c>
      <c r="E345" s="1" t="s">
        <v>443</v>
      </c>
      <c r="F345" s="1" t="s">
        <v>213</v>
      </c>
      <c r="G345" s="8" t="s">
        <v>0</v>
      </c>
      <c r="H345" s="1">
        <v>30</v>
      </c>
      <c r="I345" s="10">
        <f>detail_avancement!B345</f>
        <v>0</v>
      </c>
      <c r="J345" s="10">
        <f t="shared" si="0"/>
        <v>30</v>
      </c>
      <c r="K345" s="13">
        <f t="shared" si="1"/>
        <v>0</v>
      </c>
      <c r="L345" s="14">
        <f t="shared" si="2"/>
        <v>0</v>
      </c>
    </row>
    <row r="346" spans="1:12" ht="15.75" customHeight="1">
      <c r="A346" s="8">
        <v>345</v>
      </c>
      <c r="B346" s="8" t="s">
        <v>234</v>
      </c>
      <c r="C346" s="1" t="s">
        <v>414</v>
      </c>
      <c r="D346" s="1" t="s">
        <v>439</v>
      </c>
      <c r="E346" s="1" t="s">
        <v>444</v>
      </c>
      <c r="F346" s="1" t="s">
        <v>213</v>
      </c>
      <c r="G346" s="8" t="s">
        <v>0</v>
      </c>
      <c r="H346" s="1">
        <v>30</v>
      </c>
      <c r="I346" s="10">
        <f>detail_avancement!B346</f>
        <v>0</v>
      </c>
      <c r="J346" s="10">
        <f t="shared" si="0"/>
        <v>30</v>
      </c>
      <c r="K346" s="13">
        <f t="shared" si="1"/>
        <v>0</v>
      </c>
      <c r="L346" s="14">
        <f t="shared" si="2"/>
        <v>0</v>
      </c>
    </row>
    <row r="347" spans="1:12" ht="15.75" customHeight="1">
      <c r="A347" s="8">
        <v>346</v>
      </c>
      <c r="B347" s="8" t="s">
        <v>234</v>
      </c>
      <c r="C347" s="1" t="s">
        <v>414</v>
      </c>
      <c r="D347" s="1" t="s">
        <v>445</v>
      </c>
      <c r="E347" s="1" t="s">
        <v>446</v>
      </c>
      <c r="F347" s="1" t="s">
        <v>213</v>
      </c>
      <c r="G347" s="8" t="s">
        <v>0</v>
      </c>
      <c r="H347" s="1">
        <v>30</v>
      </c>
      <c r="I347" s="10">
        <f>detail_avancement!B347</f>
        <v>0</v>
      </c>
      <c r="J347" s="10">
        <f t="shared" si="0"/>
        <v>30</v>
      </c>
      <c r="K347" s="13">
        <f t="shared" si="1"/>
        <v>0</v>
      </c>
      <c r="L347" s="14">
        <f t="shared" si="2"/>
        <v>0</v>
      </c>
    </row>
    <row r="348" spans="1:12" ht="15.75" customHeight="1">
      <c r="A348" s="8">
        <v>347</v>
      </c>
      <c r="B348" s="8" t="s">
        <v>234</v>
      </c>
      <c r="C348" s="1" t="s">
        <v>414</v>
      </c>
      <c r="D348" s="1" t="s">
        <v>445</v>
      </c>
      <c r="E348" s="1" t="s">
        <v>447</v>
      </c>
      <c r="F348" s="1" t="s">
        <v>213</v>
      </c>
      <c r="G348" s="8" t="s">
        <v>0</v>
      </c>
      <c r="H348" s="1">
        <v>30</v>
      </c>
      <c r="I348" s="10">
        <f>detail_avancement!B348</f>
        <v>0</v>
      </c>
      <c r="J348" s="10">
        <f t="shared" si="0"/>
        <v>30</v>
      </c>
      <c r="K348" s="13">
        <f t="shared" si="1"/>
        <v>0</v>
      </c>
      <c r="L348" s="14">
        <f t="shared" si="2"/>
        <v>0</v>
      </c>
    </row>
    <row r="349" spans="1:12" ht="15.75" customHeight="1">
      <c r="A349" s="8">
        <v>348</v>
      </c>
      <c r="B349" s="8" t="s">
        <v>234</v>
      </c>
      <c r="C349" s="1" t="s">
        <v>414</v>
      </c>
      <c r="D349" s="1" t="s">
        <v>445</v>
      </c>
      <c r="E349" s="1" t="s">
        <v>448</v>
      </c>
      <c r="F349" s="1" t="s">
        <v>213</v>
      </c>
      <c r="G349" s="8" t="s">
        <v>0</v>
      </c>
      <c r="H349" s="1">
        <v>30</v>
      </c>
      <c r="I349" s="10">
        <f>detail_avancement!B349</f>
        <v>0</v>
      </c>
      <c r="J349" s="10">
        <f t="shared" si="0"/>
        <v>30</v>
      </c>
      <c r="K349" s="13">
        <f t="shared" si="1"/>
        <v>0</v>
      </c>
      <c r="L349" s="14">
        <f t="shared" si="2"/>
        <v>0</v>
      </c>
    </row>
    <row r="350" spans="1:12" ht="15.75" customHeight="1">
      <c r="A350" s="8">
        <v>349</v>
      </c>
      <c r="B350" s="8" t="s">
        <v>234</v>
      </c>
      <c r="C350" s="1" t="s">
        <v>414</v>
      </c>
      <c r="D350" s="1" t="s">
        <v>449</v>
      </c>
      <c r="E350" s="1" t="s">
        <v>450</v>
      </c>
      <c r="F350" s="1" t="s">
        <v>106</v>
      </c>
      <c r="G350" s="8" t="s">
        <v>0</v>
      </c>
      <c r="H350" s="1">
        <v>30</v>
      </c>
      <c r="I350" s="10">
        <f>detail_avancement!B350</f>
        <v>0</v>
      </c>
      <c r="J350" s="10">
        <f t="shared" si="0"/>
        <v>30</v>
      </c>
      <c r="K350" s="13">
        <f t="shared" si="1"/>
        <v>0</v>
      </c>
      <c r="L350" s="14">
        <f t="shared" si="2"/>
        <v>0</v>
      </c>
    </row>
    <row r="351" spans="1:12" ht="15.75" customHeight="1">
      <c r="A351" s="8">
        <v>350</v>
      </c>
      <c r="B351" s="8" t="s">
        <v>234</v>
      </c>
      <c r="C351" s="1" t="s">
        <v>414</v>
      </c>
      <c r="D351" s="1" t="s">
        <v>449</v>
      </c>
      <c r="E351" s="1" t="s">
        <v>451</v>
      </c>
      <c r="F351" s="1" t="s">
        <v>106</v>
      </c>
      <c r="G351" s="8" t="s">
        <v>0</v>
      </c>
      <c r="H351" s="1">
        <v>30</v>
      </c>
      <c r="I351" s="10">
        <f>detail_avancement!B351</f>
        <v>0</v>
      </c>
      <c r="J351" s="10">
        <f t="shared" si="0"/>
        <v>30</v>
      </c>
      <c r="K351" s="13">
        <f t="shared" si="1"/>
        <v>0</v>
      </c>
      <c r="L351" s="14">
        <f t="shared" si="2"/>
        <v>0</v>
      </c>
    </row>
    <row r="352" spans="1:12" ht="15.75" customHeight="1">
      <c r="A352" s="8">
        <v>351</v>
      </c>
      <c r="B352" s="8" t="s">
        <v>234</v>
      </c>
      <c r="C352" s="1" t="s">
        <v>414</v>
      </c>
      <c r="D352" s="1" t="s">
        <v>452</v>
      </c>
      <c r="E352" s="1" t="s">
        <v>453</v>
      </c>
      <c r="F352" s="1" t="s">
        <v>213</v>
      </c>
      <c r="G352" s="8" t="s">
        <v>0</v>
      </c>
      <c r="H352" s="1">
        <v>30</v>
      </c>
      <c r="I352" s="10">
        <f>detail_avancement!B352</f>
        <v>0</v>
      </c>
      <c r="J352" s="10">
        <f t="shared" si="0"/>
        <v>30</v>
      </c>
      <c r="K352" s="13">
        <f t="shared" si="1"/>
        <v>0</v>
      </c>
      <c r="L352" s="14">
        <f t="shared" si="2"/>
        <v>0</v>
      </c>
    </row>
    <row r="353" spans="1:12" ht="15.75" customHeight="1">
      <c r="A353" s="8">
        <v>352</v>
      </c>
      <c r="B353" s="8" t="s">
        <v>234</v>
      </c>
      <c r="C353" s="1" t="s">
        <v>414</v>
      </c>
      <c r="D353" s="1" t="s">
        <v>452</v>
      </c>
      <c r="E353" s="1" t="s">
        <v>454</v>
      </c>
      <c r="F353" s="1" t="s">
        <v>213</v>
      </c>
      <c r="G353" s="8" t="s">
        <v>0</v>
      </c>
      <c r="H353" s="1">
        <v>30</v>
      </c>
      <c r="I353" s="10">
        <f>detail_avancement!B353</f>
        <v>0</v>
      </c>
      <c r="J353" s="10">
        <f t="shared" si="0"/>
        <v>30</v>
      </c>
      <c r="K353" s="13">
        <f t="shared" si="1"/>
        <v>0</v>
      </c>
      <c r="L353" s="14">
        <f t="shared" si="2"/>
        <v>0</v>
      </c>
    </row>
    <row r="354" spans="1:12" ht="15.75" customHeight="1">
      <c r="A354" s="8">
        <v>353</v>
      </c>
      <c r="B354" s="8" t="s">
        <v>234</v>
      </c>
      <c r="C354" s="1" t="s">
        <v>414</v>
      </c>
      <c r="D354" s="1" t="s">
        <v>452</v>
      </c>
      <c r="E354" s="1" t="s">
        <v>455</v>
      </c>
      <c r="F354" s="1" t="s">
        <v>213</v>
      </c>
      <c r="G354" s="8" t="s">
        <v>0</v>
      </c>
      <c r="H354" s="1">
        <v>30</v>
      </c>
      <c r="I354" s="10">
        <f>detail_avancement!B354</f>
        <v>0</v>
      </c>
      <c r="J354" s="10">
        <f t="shared" si="0"/>
        <v>30</v>
      </c>
      <c r="K354" s="13">
        <f t="shared" si="1"/>
        <v>0</v>
      </c>
      <c r="L354" s="14">
        <f t="shared" si="2"/>
        <v>0</v>
      </c>
    </row>
    <row r="355" spans="1:12" ht="15.75" customHeight="1">
      <c r="A355" s="8">
        <v>354</v>
      </c>
      <c r="B355" s="8" t="s">
        <v>234</v>
      </c>
      <c r="C355" s="1" t="s">
        <v>414</v>
      </c>
      <c r="D355" s="1" t="s">
        <v>452</v>
      </c>
      <c r="E355" s="1" t="s">
        <v>456</v>
      </c>
      <c r="F355" s="1" t="s">
        <v>213</v>
      </c>
      <c r="G355" s="8" t="s">
        <v>0</v>
      </c>
      <c r="H355" s="1">
        <v>30</v>
      </c>
      <c r="I355" s="10">
        <f>detail_avancement!B355</f>
        <v>0</v>
      </c>
      <c r="J355" s="10">
        <f t="shared" si="0"/>
        <v>30</v>
      </c>
      <c r="K355" s="13">
        <f t="shared" si="1"/>
        <v>0</v>
      </c>
      <c r="L355" s="14">
        <f t="shared" si="2"/>
        <v>0</v>
      </c>
    </row>
    <row r="356" spans="1:12" ht="15.75" customHeight="1">
      <c r="A356" s="8">
        <v>355</v>
      </c>
      <c r="B356" s="8" t="s">
        <v>234</v>
      </c>
      <c r="C356" s="1" t="s">
        <v>414</v>
      </c>
      <c r="D356" s="1" t="s">
        <v>452</v>
      </c>
      <c r="E356" s="1" t="s">
        <v>457</v>
      </c>
      <c r="F356" s="1" t="s">
        <v>213</v>
      </c>
      <c r="G356" s="8" t="s">
        <v>0</v>
      </c>
      <c r="H356" s="1">
        <v>30</v>
      </c>
      <c r="I356" s="10">
        <f>detail_avancement!B356</f>
        <v>0</v>
      </c>
      <c r="J356" s="10">
        <f t="shared" si="0"/>
        <v>30</v>
      </c>
      <c r="K356" s="13">
        <f t="shared" si="1"/>
        <v>0</v>
      </c>
      <c r="L356" s="14">
        <f t="shared" si="2"/>
        <v>0</v>
      </c>
    </row>
    <row r="357" spans="1:12" ht="15.75" customHeight="1">
      <c r="A357" s="8">
        <v>356</v>
      </c>
      <c r="B357" s="8" t="s">
        <v>234</v>
      </c>
      <c r="C357" s="1" t="s">
        <v>414</v>
      </c>
      <c r="D357" s="1" t="s">
        <v>452</v>
      </c>
      <c r="E357" s="1" t="s">
        <v>458</v>
      </c>
      <c r="F357" s="1" t="s">
        <v>213</v>
      </c>
      <c r="G357" s="8" t="s">
        <v>0</v>
      </c>
      <c r="H357" s="1">
        <v>30</v>
      </c>
      <c r="I357" s="10">
        <f>detail_avancement!B357</f>
        <v>0</v>
      </c>
      <c r="J357" s="10">
        <f t="shared" si="0"/>
        <v>30</v>
      </c>
      <c r="K357" s="13">
        <f t="shared" si="1"/>
        <v>0</v>
      </c>
      <c r="L357" s="14">
        <f t="shared" si="2"/>
        <v>0</v>
      </c>
    </row>
    <row r="358" spans="1:12" ht="15.75" customHeight="1">
      <c r="A358" s="8">
        <v>357</v>
      </c>
      <c r="B358" s="8" t="s">
        <v>234</v>
      </c>
      <c r="C358" s="1" t="s">
        <v>414</v>
      </c>
      <c r="D358" s="1" t="s">
        <v>459</v>
      </c>
      <c r="E358" s="1" t="s">
        <v>460</v>
      </c>
      <c r="F358" s="1" t="s">
        <v>227</v>
      </c>
      <c r="G358" s="8" t="s">
        <v>0</v>
      </c>
      <c r="H358" s="1">
        <v>30</v>
      </c>
      <c r="I358" s="10">
        <f>detail_avancement!B358</f>
        <v>0</v>
      </c>
      <c r="J358" s="10">
        <f t="shared" si="0"/>
        <v>30</v>
      </c>
      <c r="K358" s="13">
        <f t="shared" si="1"/>
        <v>0</v>
      </c>
      <c r="L358" s="14">
        <f t="shared" si="2"/>
        <v>0</v>
      </c>
    </row>
    <row r="359" spans="1:12" ht="15.75" customHeight="1">
      <c r="A359" s="8">
        <v>358</v>
      </c>
      <c r="B359" s="8" t="s">
        <v>234</v>
      </c>
      <c r="C359" s="1" t="s">
        <v>414</v>
      </c>
      <c r="D359" s="1" t="s">
        <v>459</v>
      </c>
      <c r="E359" s="1" t="s">
        <v>461</v>
      </c>
      <c r="F359" s="1" t="s">
        <v>227</v>
      </c>
      <c r="G359" s="8" t="s">
        <v>0</v>
      </c>
      <c r="H359" s="1">
        <v>30</v>
      </c>
      <c r="I359" s="10">
        <f>detail_avancement!B359</f>
        <v>0</v>
      </c>
      <c r="J359" s="10">
        <f t="shared" si="0"/>
        <v>30</v>
      </c>
      <c r="K359" s="13">
        <f t="shared" si="1"/>
        <v>0</v>
      </c>
      <c r="L359" s="14">
        <f t="shared" si="2"/>
        <v>0</v>
      </c>
    </row>
    <row r="360" spans="1:12" ht="15.75" customHeight="1">
      <c r="A360" s="8">
        <v>359</v>
      </c>
      <c r="B360" s="8" t="s">
        <v>234</v>
      </c>
      <c r="C360" s="1" t="s">
        <v>414</v>
      </c>
      <c r="D360" s="1" t="s">
        <v>459</v>
      </c>
      <c r="E360" s="1" t="s">
        <v>462</v>
      </c>
      <c r="F360" s="1" t="s">
        <v>227</v>
      </c>
      <c r="G360" s="8" t="s">
        <v>0</v>
      </c>
      <c r="H360" s="1">
        <v>30</v>
      </c>
      <c r="I360" s="10">
        <f>detail_avancement!B360</f>
        <v>0</v>
      </c>
      <c r="J360" s="10">
        <f t="shared" si="0"/>
        <v>30</v>
      </c>
      <c r="K360" s="13">
        <f t="shared" si="1"/>
        <v>0</v>
      </c>
      <c r="L360" s="14">
        <f t="shared" si="2"/>
        <v>0</v>
      </c>
    </row>
    <row r="361" spans="1:12" ht="15.75" customHeight="1">
      <c r="A361" s="8">
        <v>360</v>
      </c>
      <c r="B361" s="8" t="s">
        <v>234</v>
      </c>
      <c r="C361" s="1" t="s">
        <v>414</v>
      </c>
      <c r="D361" s="1" t="s">
        <v>459</v>
      </c>
      <c r="E361" s="1" t="s">
        <v>463</v>
      </c>
      <c r="F361" s="1" t="s">
        <v>227</v>
      </c>
      <c r="G361" s="8" t="s">
        <v>0</v>
      </c>
      <c r="H361" s="1">
        <v>30</v>
      </c>
      <c r="I361" s="10">
        <f>detail_avancement!B361</f>
        <v>0</v>
      </c>
      <c r="J361" s="10">
        <f t="shared" si="0"/>
        <v>30</v>
      </c>
      <c r="K361" s="13">
        <f t="shared" si="1"/>
        <v>0</v>
      </c>
      <c r="L361" s="14">
        <f t="shared" si="2"/>
        <v>0</v>
      </c>
    </row>
    <row r="362" spans="1:12" ht="15.75" customHeight="1">
      <c r="A362" s="8">
        <v>361</v>
      </c>
      <c r="B362" s="8" t="s">
        <v>234</v>
      </c>
      <c r="C362" s="1" t="s">
        <v>414</v>
      </c>
      <c r="D362" s="1" t="s">
        <v>459</v>
      </c>
      <c r="E362" s="1" t="s">
        <v>464</v>
      </c>
      <c r="F362" s="1" t="s">
        <v>267</v>
      </c>
      <c r="G362" s="8" t="s">
        <v>0</v>
      </c>
      <c r="H362" s="1">
        <v>30</v>
      </c>
      <c r="I362" s="10">
        <f>detail_avancement!B362</f>
        <v>0</v>
      </c>
      <c r="J362" s="10">
        <f t="shared" si="0"/>
        <v>30</v>
      </c>
      <c r="K362" s="13">
        <f t="shared" si="1"/>
        <v>0</v>
      </c>
      <c r="L362" s="14">
        <f t="shared" si="2"/>
        <v>0</v>
      </c>
    </row>
    <row r="363" spans="1:12" ht="15.75" customHeight="1">
      <c r="A363" s="8">
        <v>362</v>
      </c>
      <c r="B363" s="8" t="s">
        <v>234</v>
      </c>
      <c r="C363" s="1" t="s">
        <v>414</v>
      </c>
      <c r="D363" s="1" t="s">
        <v>465</v>
      </c>
      <c r="E363" s="1" t="s">
        <v>466</v>
      </c>
      <c r="F363" s="1" t="s">
        <v>106</v>
      </c>
      <c r="G363" s="8" t="s">
        <v>0</v>
      </c>
      <c r="H363" s="1">
        <v>30</v>
      </c>
      <c r="I363" s="10">
        <f>detail_avancement!B363</f>
        <v>0</v>
      </c>
      <c r="J363" s="10">
        <f t="shared" si="0"/>
        <v>30</v>
      </c>
      <c r="K363" s="13">
        <f t="shared" si="1"/>
        <v>0</v>
      </c>
      <c r="L363" s="14">
        <f t="shared" si="2"/>
        <v>0</v>
      </c>
    </row>
    <row r="364" spans="1:12" ht="15.75" customHeight="1">
      <c r="A364" s="8">
        <v>363</v>
      </c>
      <c r="B364" s="8" t="s">
        <v>234</v>
      </c>
      <c r="C364" s="1" t="s">
        <v>414</v>
      </c>
      <c r="D364" s="1" t="s">
        <v>465</v>
      </c>
      <c r="E364" s="1" t="s">
        <v>467</v>
      </c>
      <c r="F364" s="1" t="s">
        <v>106</v>
      </c>
      <c r="G364" s="8" t="s">
        <v>0</v>
      </c>
      <c r="H364" s="1">
        <v>30</v>
      </c>
      <c r="I364" s="10">
        <f>detail_avancement!B364</f>
        <v>0</v>
      </c>
      <c r="J364" s="10">
        <f t="shared" si="0"/>
        <v>30</v>
      </c>
      <c r="K364" s="13">
        <f t="shared" si="1"/>
        <v>0</v>
      </c>
      <c r="L364" s="14">
        <f t="shared" si="2"/>
        <v>0</v>
      </c>
    </row>
    <row r="365" spans="1:12" ht="15.75" customHeight="1">
      <c r="A365" s="8">
        <v>364</v>
      </c>
      <c r="B365" s="8" t="s">
        <v>234</v>
      </c>
      <c r="C365" s="1" t="s">
        <v>414</v>
      </c>
      <c r="D365" s="1" t="s">
        <v>465</v>
      </c>
      <c r="E365" s="1" t="s">
        <v>468</v>
      </c>
      <c r="F365" s="1" t="s">
        <v>106</v>
      </c>
      <c r="G365" s="8" t="s">
        <v>0</v>
      </c>
      <c r="H365" s="1">
        <v>30</v>
      </c>
      <c r="I365" s="10">
        <f>detail_avancement!B365</f>
        <v>0</v>
      </c>
      <c r="J365" s="10">
        <f t="shared" si="0"/>
        <v>30</v>
      </c>
      <c r="K365" s="13">
        <f t="shared" si="1"/>
        <v>0</v>
      </c>
      <c r="L365" s="14">
        <f t="shared" si="2"/>
        <v>0</v>
      </c>
    </row>
    <row r="366" spans="1:12" ht="15.75" customHeight="1">
      <c r="A366" s="8">
        <v>365</v>
      </c>
      <c r="B366" s="8" t="s">
        <v>234</v>
      </c>
      <c r="C366" s="1" t="s">
        <v>414</v>
      </c>
      <c r="D366" s="1" t="s">
        <v>465</v>
      </c>
      <c r="E366" s="1" t="s">
        <v>469</v>
      </c>
      <c r="F366" s="1" t="s">
        <v>106</v>
      </c>
      <c r="G366" s="8" t="s">
        <v>0</v>
      </c>
      <c r="H366" s="1">
        <v>30</v>
      </c>
      <c r="I366" s="10">
        <f>detail_avancement!B366</f>
        <v>0</v>
      </c>
      <c r="J366" s="10">
        <f t="shared" si="0"/>
        <v>30</v>
      </c>
      <c r="K366" s="13">
        <f t="shared" si="1"/>
        <v>0</v>
      </c>
      <c r="L366" s="14">
        <f t="shared" si="2"/>
        <v>0</v>
      </c>
    </row>
    <row r="367" spans="1:12" ht="15.75" customHeight="1">
      <c r="A367" s="8">
        <v>366</v>
      </c>
      <c r="B367" s="8" t="s">
        <v>234</v>
      </c>
      <c r="C367" s="1" t="s">
        <v>470</v>
      </c>
      <c r="D367" s="1" t="s">
        <v>471</v>
      </c>
      <c r="E367" s="1" t="s">
        <v>472</v>
      </c>
      <c r="F367" s="1" t="s">
        <v>213</v>
      </c>
      <c r="G367" s="8" t="s">
        <v>0</v>
      </c>
      <c r="H367" s="1">
        <v>30</v>
      </c>
      <c r="I367" s="10">
        <f>detail_avancement!B367</f>
        <v>0</v>
      </c>
      <c r="J367" s="10">
        <f t="shared" si="0"/>
        <v>30</v>
      </c>
      <c r="K367" s="13">
        <f t="shared" si="1"/>
        <v>0</v>
      </c>
      <c r="L367" s="14">
        <f t="shared" si="2"/>
        <v>0</v>
      </c>
    </row>
    <row r="368" spans="1:12" ht="15.75" customHeight="1">
      <c r="A368" s="8">
        <v>367</v>
      </c>
      <c r="B368" s="8" t="s">
        <v>234</v>
      </c>
      <c r="C368" s="1" t="s">
        <v>470</v>
      </c>
      <c r="D368" s="1" t="s">
        <v>471</v>
      </c>
      <c r="E368" s="1" t="s">
        <v>473</v>
      </c>
      <c r="F368" s="1" t="s">
        <v>213</v>
      </c>
      <c r="G368" s="8" t="s">
        <v>0</v>
      </c>
      <c r="H368" s="1">
        <v>30</v>
      </c>
      <c r="I368" s="10">
        <f>detail_avancement!B368</f>
        <v>0</v>
      </c>
      <c r="J368" s="10">
        <f t="shared" si="0"/>
        <v>30</v>
      </c>
      <c r="K368" s="13">
        <f t="shared" si="1"/>
        <v>0</v>
      </c>
      <c r="L368" s="14">
        <f t="shared" si="2"/>
        <v>0</v>
      </c>
    </row>
    <row r="369" spans="1:12" ht="15.75" customHeight="1">
      <c r="A369" s="8">
        <v>368</v>
      </c>
      <c r="B369" s="8" t="s">
        <v>234</v>
      </c>
      <c r="C369" s="1" t="s">
        <v>470</v>
      </c>
      <c r="D369" s="1" t="s">
        <v>471</v>
      </c>
      <c r="E369" s="1" t="s">
        <v>474</v>
      </c>
      <c r="F369" s="1" t="s">
        <v>213</v>
      </c>
      <c r="G369" s="8" t="s">
        <v>0</v>
      </c>
      <c r="H369" s="1">
        <v>30</v>
      </c>
      <c r="I369" s="10">
        <f>detail_avancement!B369</f>
        <v>0</v>
      </c>
      <c r="J369" s="10">
        <f t="shared" si="0"/>
        <v>30</v>
      </c>
      <c r="K369" s="13">
        <f t="shared" si="1"/>
        <v>0</v>
      </c>
      <c r="L369" s="14">
        <f t="shared" si="2"/>
        <v>0</v>
      </c>
    </row>
    <row r="370" spans="1:12" ht="15.75" customHeight="1">
      <c r="A370" s="8">
        <v>369</v>
      </c>
      <c r="B370" s="8" t="s">
        <v>234</v>
      </c>
      <c r="C370" s="1" t="s">
        <v>470</v>
      </c>
      <c r="D370" s="1" t="s">
        <v>475</v>
      </c>
      <c r="E370" s="1" t="s">
        <v>476</v>
      </c>
      <c r="F370" s="1" t="s">
        <v>227</v>
      </c>
      <c r="G370" s="8" t="s">
        <v>0</v>
      </c>
      <c r="H370" s="1">
        <v>30</v>
      </c>
      <c r="I370" s="10">
        <f>detail_avancement!B370</f>
        <v>0</v>
      </c>
      <c r="J370" s="10">
        <f t="shared" si="0"/>
        <v>30</v>
      </c>
      <c r="K370" s="13">
        <f t="shared" si="1"/>
        <v>0</v>
      </c>
      <c r="L370" s="14">
        <f t="shared" si="2"/>
        <v>0</v>
      </c>
    </row>
    <row r="371" spans="1:12" ht="15.75" customHeight="1">
      <c r="A371" s="8">
        <v>370</v>
      </c>
      <c r="B371" s="8" t="s">
        <v>234</v>
      </c>
      <c r="C371" s="1" t="s">
        <v>470</v>
      </c>
      <c r="D371" s="1" t="s">
        <v>475</v>
      </c>
      <c r="E371" s="1" t="s">
        <v>477</v>
      </c>
      <c r="F371" s="1" t="s">
        <v>267</v>
      </c>
      <c r="G371" s="8" t="s">
        <v>0</v>
      </c>
      <c r="H371" s="1">
        <v>30</v>
      </c>
      <c r="I371" s="10">
        <f>detail_avancement!B371</f>
        <v>0</v>
      </c>
      <c r="J371" s="10">
        <f t="shared" si="0"/>
        <v>30</v>
      </c>
      <c r="K371" s="13">
        <f t="shared" si="1"/>
        <v>0</v>
      </c>
      <c r="L371" s="14">
        <f t="shared" si="2"/>
        <v>0</v>
      </c>
    </row>
    <row r="372" spans="1:12" ht="15.75" customHeight="1">
      <c r="A372" s="8">
        <v>371</v>
      </c>
      <c r="B372" s="8" t="s">
        <v>234</v>
      </c>
      <c r="C372" s="1" t="s">
        <v>478</v>
      </c>
      <c r="D372" s="1" t="s">
        <v>479</v>
      </c>
      <c r="E372" s="1" t="s">
        <v>480</v>
      </c>
      <c r="F372" s="1" t="s">
        <v>213</v>
      </c>
      <c r="G372" s="8" t="s">
        <v>0</v>
      </c>
      <c r="H372" s="1">
        <v>30</v>
      </c>
      <c r="I372" s="10">
        <f>detail_avancement!B372</f>
        <v>0</v>
      </c>
      <c r="J372" s="10">
        <f t="shared" si="0"/>
        <v>30</v>
      </c>
      <c r="K372" s="13">
        <f t="shared" si="1"/>
        <v>0</v>
      </c>
      <c r="L372" s="14">
        <f t="shared" si="2"/>
        <v>0</v>
      </c>
    </row>
    <row r="373" spans="1:12" ht="15.75" customHeight="1">
      <c r="A373" s="8">
        <v>372</v>
      </c>
      <c r="B373" s="8" t="s">
        <v>234</v>
      </c>
      <c r="C373" s="1" t="s">
        <v>478</v>
      </c>
      <c r="D373" s="1" t="s">
        <v>479</v>
      </c>
      <c r="E373" s="1" t="s">
        <v>481</v>
      </c>
      <c r="F373" s="1" t="s">
        <v>213</v>
      </c>
      <c r="G373" s="8" t="s">
        <v>0</v>
      </c>
      <c r="H373" s="1">
        <v>30</v>
      </c>
      <c r="I373" s="10">
        <f>detail_avancement!B373</f>
        <v>0</v>
      </c>
      <c r="J373" s="10">
        <f t="shared" si="0"/>
        <v>30</v>
      </c>
      <c r="K373" s="13">
        <f t="shared" si="1"/>
        <v>0</v>
      </c>
      <c r="L373" s="14">
        <f t="shared" si="2"/>
        <v>0</v>
      </c>
    </row>
    <row r="374" spans="1:12" ht="15.75" customHeight="1">
      <c r="A374" s="8">
        <v>373</v>
      </c>
      <c r="B374" s="8" t="s">
        <v>234</v>
      </c>
      <c r="C374" s="1" t="s">
        <v>478</v>
      </c>
      <c r="D374" s="1" t="s">
        <v>479</v>
      </c>
      <c r="E374" s="1" t="s">
        <v>329</v>
      </c>
      <c r="F374" s="1" t="s">
        <v>213</v>
      </c>
      <c r="G374" s="8" t="s">
        <v>0</v>
      </c>
      <c r="H374" s="1">
        <v>30</v>
      </c>
      <c r="I374" s="10">
        <f>detail_avancement!B374</f>
        <v>0</v>
      </c>
      <c r="J374" s="10">
        <f t="shared" si="0"/>
        <v>30</v>
      </c>
      <c r="K374" s="13">
        <f t="shared" si="1"/>
        <v>0</v>
      </c>
      <c r="L374" s="14">
        <f t="shared" si="2"/>
        <v>0</v>
      </c>
    </row>
    <row r="375" spans="1:12" ht="15.75" customHeight="1">
      <c r="A375" s="8">
        <v>374</v>
      </c>
      <c r="B375" s="8" t="s">
        <v>234</v>
      </c>
      <c r="C375" s="1" t="s">
        <v>478</v>
      </c>
      <c r="D375" s="1" t="s">
        <v>479</v>
      </c>
      <c r="E375" s="1" t="s">
        <v>482</v>
      </c>
      <c r="F375" s="1" t="s">
        <v>213</v>
      </c>
      <c r="G375" s="8" t="s">
        <v>0</v>
      </c>
      <c r="H375" s="1">
        <v>30</v>
      </c>
      <c r="I375" s="10">
        <f>detail_avancement!B375</f>
        <v>0</v>
      </c>
      <c r="J375" s="10">
        <f t="shared" si="0"/>
        <v>30</v>
      </c>
      <c r="K375" s="13">
        <f t="shared" si="1"/>
        <v>0</v>
      </c>
      <c r="L375" s="14">
        <f t="shared" si="2"/>
        <v>0</v>
      </c>
    </row>
    <row r="376" spans="1:12" ht="15.75" customHeight="1">
      <c r="A376" s="8">
        <v>375</v>
      </c>
      <c r="B376" s="8" t="s">
        <v>234</v>
      </c>
      <c r="C376" s="1" t="s">
        <v>478</v>
      </c>
      <c r="D376" s="1" t="s">
        <v>483</v>
      </c>
      <c r="E376" s="1" t="s">
        <v>484</v>
      </c>
      <c r="F376" s="1" t="s">
        <v>227</v>
      </c>
      <c r="G376" s="8" t="s">
        <v>0</v>
      </c>
      <c r="H376" s="1">
        <v>30</v>
      </c>
      <c r="I376" s="10">
        <f>detail_avancement!B376</f>
        <v>0</v>
      </c>
      <c r="J376" s="10">
        <f t="shared" si="0"/>
        <v>30</v>
      </c>
      <c r="K376" s="13">
        <f t="shared" si="1"/>
        <v>0</v>
      </c>
      <c r="L376" s="14">
        <f t="shared" si="2"/>
        <v>0</v>
      </c>
    </row>
    <row r="377" spans="1:12" ht="15.75" customHeight="1">
      <c r="A377" s="8">
        <v>376</v>
      </c>
      <c r="B377" s="8" t="s">
        <v>234</v>
      </c>
      <c r="C377" s="1" t="s">
        <v>478</v>
      </c>
      <c r="D377" s="1" t="s">
        <v>483</v>
      </c>
      <c r="E377" s="1" t="s">
        <v>485</v>
      </c>
      <c r="F377" s="1" t="s">
        <v>227</v>
      </c>
      <c r="G377" s="8" t="s">
        <v>0</v>
      </c>
      <c r="H377" s="1">
        <v>30</v>
      </c>
      <c r="I377" s="10">
        <f>detail_avancement!B377</f>
        <v>0</v>
      </c>
      <c r="J377" s="10">
        <f t="shared" si="0"/>
        <v>30</v>
      </c>
      <c r="K377" s="13">
        <f t="shared" si="1"/>
        <v>0</v>
      </c>
      <c r="L377" s="14">
        <f t="shared" si="2"/>
        <v>0</v>
      </c>
    </row>
    <row r="378" spans="1:12" ht="15.75" customHeight="1">
      <c r="A378" s="8">
        <v>377</v>
      </c>
      <c r="B378" s="8" t="s">
        <v>234</v>
      </c>
      <c r="C378" s="1" t="s">
        <v>478</v>
      </c>
      <c r="D378" s="1" t="s">
        <v>483</v>
      </c>
      <c r="E378" s="1" t="s">
        <v>486</v>
      </c>
      <c r="F378" s="1" t="s">
        <v>227</v>
      </c>
      <c r="G378" s="8" t="s">
        <v>0</v>
      </c>
      <c r="H378" s="1">
        <v>30</v>
      </c>
      <c r="I378" s="10">
        <f>detail_avancement!B378</f>
        <v>0</v>
      </c>
      <c r="J378" s="10">
        <f t="shared" si="0"/>
        <v>30</v>
      </c>
      <c r="K378" s="13">
        <f t="shared" si="1"/>
        <v>0</v>
      </c>
      <c r="L378" s="14">
        <f t="shared" si="2"/>
        <v>0</v>
      </c>
    </row>
    <row r="379" spans="1:12" ht="15.75" customHeight="1">
      <c r="A379" s="8">
        <v>378</v>
      </c>
      <c r="B379" s="8" t="s">
        <v>234</v>
      </c>
      <c r="C379" s="1" t="s">
        <v>478</v>
      </c>
      <c r="D379" s="1" t="s">
        <v>487</v>
      </c>
      <c r="E379" s="1" t="s">
        <v>488</v>
      </c>
      <c r="F379" s="1" t="s">
        <v>227</v>
      </c>
      <c r="G379" s="8" t="s">
        <v>0</v>
      </c>
      <c r="H379" s="1">
        <v>30</v>
      </c>
      <c r="I379" s="10">
        <f>detail_avancement!B379</f>
        <v>0</v>
      </c>
      <c r="J379" s="10">
        <f t="shared" si="0"/>
        <v>30</v>
      </c>
      <c r="K379" s="13">
        <f t="shared" si="1"/>
        <v>0</v>
      </c>
      <c r="L379" s="14">
        <f t="shared" si="2"/>
        <v>0</v>
      </c>
    </row>
    <row r="380" spans="1:12" ht="15.75" customHeight="1">
      <c r="A380" s="8">
        <v>379</v>
      </c>
      <c r="B380" s="8" t="s">
        <v>234</v>
      </c>
      <c r="C380" s="1" t="s">
        <v>478</v>
      </c>
      <c r="D380" s="1" t="s">
        <v>487</v>
      </c>
      <c r="E380" s="1" t="s">
        <v>489</v>
      </c>
      <c r="F380" s="1" t="s">
        <v>227</v>
      </c>
      <c r="G380" s="8" t="s">
        <v>0</v>
      </c>
      <c r="H380" s="1">
        <v>30</v>
      </c>
      <c r="I380" s="10">
        <f>detail_avancement!B380</f>
        <v>0</v>
      </c>
      <c r="J380" s="10">
        <f t="shared" si="0"/>
        <v>30</v>
      </c>
      <c r="K380" s="13">
        <f t="shared" si="1"/>
        <v>0</v>
      </c>
      <c r="L380" s="14">
        <f t="shared" si="2"/>
        <v>0</v>
      </c>
    </row>
    <row r="381" spans="1:12" ht="15.75" customHeight="1">
      <c r="A381" s="8">
        <v>380</v>
      </c>
      <c r="B381" s="8" t="s">
        <v>234</v>
      </c>
      <c r="C381" s="1" t="s">
        <v>478</v>
      </c>
      <c r="D381" s="1" t="s">
        <v>483</v>
      </c>
      <c r="E381" s="1" t="s">
        <v>490</v>
      </c>
      <c r="F381" s="1" t="s">
        <v>267</v>
      </c>
      <c r="G381" s="8" t="s">
        <v>0</v>
      </c>
      <c r="H381" s="1">
        <v>30</v>
      </c>
      <c r="I381" s="10">
        <f>detail_avancement!B381</f>
        <v>0</v>
      </c>
      <c r="J381" s="10">
        <f t="shared" si="0"/>
        <v>30</v>
      </c>
      <c r="K381" s="13">
        <f t="shared" si="1"/>
        <v>0</v>
      </c>
      <c r="L381" s="14">
        <f t="shared" si="2"/>
        <v>0</v>
      </c>
    </row>
    <row r="382" spans="1:12" ht="15.75" customHeight="1">
      <c r="A382" s="8">
        <v>381</v>
      </c>
      <c r="B382" s="8" t="s">
        <v>234</v>
      </c>
      <c r="C382" s="1" t="s">
        <v>491</v>
      </c>
      <c r="D382" s="1" t="s">
        <v>492</v>
      </c>
      <c r="E382" s="1" t="s">
        <v>493</v>
      </c>
      <c r="F382" s="1" t="s">
        <v>213</v>
      </c>
      <c r="G382" s="8" t="s">
        <v>0</v>
      </c>
      <c r="H382" s="1">
        <v>30</v>
      </c>
      <c r="I382" s="10">
        <f>detail_avancement!B382</f>
        <v>0</v>
      </c>
      <c r="J382" s="10">
        <f t="shared" si="0"/>
        <v>30</v>
      </c>
      <c r="K382" s="13">
        <f t="shared" si="1"/>
        <v>0</v>
      </c>
      <c r="L382" s="14">
        <f t="shared" si="2"/>
        <v>0</v>
      </c>
    </row>
    <row r="383" spans="1:12" ht="15.75" customHeight="1">
      <c r="A383" s="8">
        <v>382</v>
      </c>
      <c r="B383" s="8" t="s">
        <v>234</v>
      </c>
      <c r="C383" s="1" t="s">
        <v>491</v>
      </c>
      <c r="D383" s="1" t="s">
        <v>492</v>
      </c>
      <c r="E383" s="1" t="s">
        <v>494</v>
      </c>
      <c r="F383" s="1" t="s">
        <v>213</v>
      </c>
      <c r="G383" s="8" t="s">
        <v>0</v>
      </c>
      <c r="H383" s="1">
        <v>30</v>
      </c>
      <c r="I383" s="10">
        <f>detail_avancement!B383</f>
        <v>0</v>
      </c>
      <c r="J383" s="10">
        <f t="shared" si="0"/>
        <v>30</v>
      </c>
      <c r="K383" s="13">
        <f t="shared" si="1"/>
        <v>0</v>
      </c>
      <c r="L383" s="14">
        <f t="shared" si="2"/>
        <v>0</v>
      </c>
    </row>
    <row r="384" spans="1:12" ht="15.75" customHeight="1">
      <c r="A384" s="8">
        <v>383</v>
      </c>
      <c r="B384" s="8" t="s">
        <v>234</v>
      </c>
      <c r="C384" s="1" t="s">
        <v>491</v>
      </c>
      <c r="D384" s="1" t="s">
        <v>492</v>
      </c>
      <c r="E384" s="1" t="s">
        <v>495</v>
      </c>
      <c r="F384" s="1" t="s">
        <v>213</v>
      </c>
      <c r="G384" s="8" t="s">
        <v>0</v>
      </c>
      <c r="H384" s="1">
        <v>30</v>
      </c>
      <c r="I384" s="10">
        <f>detail_avancement!B384</f>
        <v>0</v>
      </c>
      <c r="J384" s="10">
        <f t="shared" si="0"/>
        <v>30</v>
      </c>
      <c r="K384" s="13">
        <f t="shared" si="1"/>
        <v>0</v>
      </c>
      <c r="L384" s="14">
        <f t="shared" si="2"/>
        <v>0</v>
      </c>
    </row>
    <row r="385" spans="1:12" ht="15.75" customHeight="1">
      <c r="A385" s="8">
        <v>384</v>
      </c>
      <c r="B385" s="8" t="s">
        <v>234</v>
      </c>
      <c r="C385" s="1" t="s">
        <v>491</v>
      </c>
      <c r="D385" s="1" t="s">
        <v>492</v>
      </c>
      <c r="E385" s="1" t="s">
        <v>496</v>
      </c>
      <c r="F385" s="1" t="s">
        <v>213</v>
      </c>
      <c r="G385" s="8" t="s">
        <v>0</v>
      </c>
      <c r="H385" s="1">
        <v>30</v>
      </c>
      <c r="I385" s="10">
        <f>detail_avancement!B385</f>
        <v>0</v>
      </c>
      <c r="J385" s="10">
        <f t="shared" si="0"/>
        <v>30</v>
      </c>
      <c r="K385" s="13">
        <f t="shared" si="1"/>
        <v>0</v>
      </c>
      <c r="L385" s="14">
        <f t="shared" si="2"/>
        <v>0</v>
      </c>
    </row>
    <row r="386" spans="1:12" ht="15.75" customHeight="1">
      <c r="A386" s="8">
        <v>385</v>
      </c>
      <c r="B386" s="8" t="s">
        <v>234</v>
      </c>
      <c r="C386" s="1" t="s">
        <v>491</v>
      </c>
      <c r="D386" s="1" t="s">
        <v>492</v>
      </c>
      <c r="E386" s="1" t="s">
        <v>497</v>
      </c>
      <c r="F386" s="1" t="s">
        <v>213</v>
      </c>
      <c r="G386" s="8" t="s">
        <v>0</v>
      </c>
      <c r="H386" s="1">
        <v>30</v>
      </c>
      <c r="I386" s="10">
        <f>detail_avancement!B386</f>
        <v>0</v>
      </c>
      <c r="J386" s="10">
        <f t="shared" si="0"/>
        <v>30</v>
      </c>
      <c r="K386" s="13">
        <f t="shared" si="1"/>
        <v>0</v>
      </c>
      <c r="L386" s="14">
        <f t="shared" si="2"/>
        <v>0</v>
      </c>
    </row>
    <row r="387" spans="1:12" ht="15.75" customHeight="1">
      <c r="A387" s="8">
        <v>386</v>
      </c>
      <c r="B387" s="8" t="s">
        <v>234</v>
      </c>
      <c r="C387" s="1" t="s">
        <v>491</v>
      </c>
      <c r="D387" s="1" t="s">
        <v>498</v>
      </c>
      <c r="E387" s="1" t="s">
        <v>499</v>
      </c>
      <c r="F387" s="1" t="s">
        <v>227</v>
      </c>
      <c r="G387" s="8" t="s">
        <v>0</v>
      </c>
      <c r="H387" s="1">
        <v>15</v>
      </c>
      <c r="I387" s="10">
        <f>detail_avancement!B387</f>
        <v>0</v>
      </c>
      <c r="J387" s="10">
        <f t="shared" si="0"/>
        <v>15</v>
      </c>
      <c r="K387" s="13">
        <f t="shared" si="1"/>
        <v>0</v>
      </c>
      <c r="L387" s="14">
        <f t="shared" si="2"/>
        <v>0</v>
      </c>
    </row>
    <row r="388" spans="1:12" ht="15.75" customHeight="1">
      <c r="A388" s="8">
        <v>387</v>
      </c>
      <c r="B388" s="8" t="s">
        <v>234</v>
      </c>
      <c r="C388" s="1" t="s">
        <v>491</v>
      </c>
      <c r="D388" s="1" t="s">
        <v>498</v>
      </c>
      <c r="E388" s="1" t="s">
        <v>500</v>
      </c>
      <c r="F388" s="1" t="s">
        <v>227</v>
      </c>
      <c r="G388" s="8" t="s">
        <v>0</v>
      </c>
      <c r="H388" s="1">
        <v>15</v>
      </c>
      <c r="I388" s="10">
        <f>detail_avancement!B388</f>
        <v>0</v>
      </c>
      <c r="J388" s="10">
        <f t="shared" si="0"/>
        <v>15</v>
      </c>
      <c r="K388" s="13">
        <f t="shared" si="1"/>
        <v>0</v>
      </c>
      <c r="L388" s="14">
        <f t="shared" si="2"/>
        <v>0</v>
      </c>
    </row>
    <row r="389" spans="1:12" ht="15.75" customHeight="1">
      <c r="A389" s="8">
        <v>388</v>
      </c>
      <c r="B389" s="8" t="s">
        <v>234</v>
      </c>
      <c r="C389" s="1" t="s">
        <v>491</v>
      </c>
      <c r="D389" s="1" t="s">
        <v>498</v>
      </c>
      <c r="E389" s="1" t="s">
        <v>501</v>
      </c>
      <c r="F389" s="1" t="s">
        <v>227</v>
      </c>
      <c r="G389" s="8" t="s">
        <v>0</v>
      </c>
      <c r="H389" s="1">
        <v>45</v>
      </c>
      <c r="I389" s="10">
        <f>detail_avancement!B389</f>
        <v>0</v>
      </c>
      <c r="J389" s="10">
        <f t="shared" si="0"/>
        <v>45</v>
      </c>
      <c r="K389" s="13">
        <f t="shared" si="1"/>
        <v>0</v>
      </c>
      <c r="L389" s="14">
        <f t="shared" si="2"/>
        <v>0</v>
      </c>
    </row>
    <row r="390" spans="1:12" ht="15.75" customHeight="1">
      <c r="A390" s="8">
        <v>389</v>
      </c>
      <c r="B390" s="8" t="s">
        <v>234</v>
      </c>
      <c r="C390" s="1" t="s">
        <v>491</v>
      </c>
      <c r="D390" s="1" t="s">
        <v>498</v>
      </c>
      <c r="E390" s="1" t="s">
        <v>502</v>
      </c>
      <c r="F390" s="1" t="s">
        <v>227</v>
      </c>
      <c r="G390" s="8" t="s">
        <v>0</v>
      </c>
      <c r="H390" s="1">
        <v>30</v>
      </c>
      <c r="I390" s="10">
        <f>detail_avancement!B390</f>
        <v>0</v>
      </c>
      <c r="J390" s="10">
        <f t="shared" si="0"/>
        <v>30</v>
      </c>
      <c r="K390" s="13">
        <f t="shared" si="1"/>
        <v>0</v>
      </c>
      <c r="L390" s="14">
        <f t="shared" si="2"/>
        <v>0</v>
      </c>
    </row>
    <row r="391" spans="1:12" ht="15.75" customHeight="1">
      <c r="A391" s="8">
        <v>390</v>
      </c>
      <c r="B391" s="8" t="s">
        <v>234</v>
      </c>
      <c r="C391" s="1" t="s">
        <v>491</v>
      </c>
      <c r="D391" s="1" t="s">
        <v>498</v>
      </c>
      <c r="E391" s="1" t="s">
        <v>503</v>
      </c>
      <c r="F391" s="1" t="s">
        <v>227</v>
      </c>
      <c r="G391" s="8" t="s">
        <v>0</v>
      </c>
      <c r="H391" s="1">
        <v>15</v>
      </c>
      <c r="I391" s="10">
        <f>detail_avancement!B391</f>
        <v>0</v>
      </c>
      <c r="J391" s="10">
        <f t="shared" si="0"/>
        <v>15</v>
      </c>
      <c r="K391" s="13">
        <f t="shared" si="1"/>
        <v>0</v>
      </c>
      <c r="L391" s="14">
        <f t="shared" si="2"/>
        <v>0</v>
      </c>
    </row>
    <row r="392" spans="1:12" ht="15.75" customHeight="1">
      <c r="A392" s="8">
        <v>391</v>
      </c>
      <c r="B392" s="8" t="s">
        <v>234</v>
      </c>
      <c r="C392" s="1" t="s">
        <v>491</v>
      </c>
      <c r="D392" s="1" t="s">
        <v>498</v>
      </c>
      <c r="E392" s="1" t="s">
        <v>504</v>
      </c>
      <c r="F392" s="1" t="s">
        <v>267</v>
      </c>
      <c r="G392" s="8" t="s">
        <v>0</v>
      </c>
      <c r="H392" s="1">
        <v>30</v>
      </c>
      <c r="I392" s="10">
        <f>detail_avancement!B392</f>
        <v>0</v>
      </c>
      <c r="J392" s="10">
        <f t="shared" si="0"/>
        <v>30</v>
      </c>
      <c r="K392" s="13">
        <f t="shared" si="1"/>
        <v>0</v>
      </c>
      <c r="L392" s="14">
        <f t="shared" si="2"/>
        <v>0</v>
      </c>
    </row>
    <row r="393" spans="1:12" ht="15.75" customHeight="1">
      <c r="A393" s="8">
        <v>392</v>
      </c>
      <c r="B393" s="8" t="s">
        <v>234</v>
      </c>
      <c r="C393" s="1" t="s">
        <v>491</v>
      </c>
      <c r="D393" s="1" t="s">
        <v>505</v>
      </c>
      <c r="E393" s="1" t="s">
        <v>506</v>
      </c>
      <c r="F393" s="1" t="s">
        <v>213</v>
      </c>
      <c r="G393" s="8" t="s">
        <v>0</v>
      </c>
      <c r="H393" s="1">
        <v>30</v>
      </c>
      <c r="I393" s="10">
        <f>detail_avancement!B393</f>
        <v>0</v>
      </c>
      <c r="J393" s="10">
        <f t="shared" si="0"/>
        <v>30</v>
      </c>
      <c r="K393" s="13">
        <f t="shared" si="1"/>
        <v>0</v>
      </c>
      <c r="L393" s="14">
        <f t="shared" si="2"/>
        <v>0</v>
      </c>
    </row>
    <row r="394" spans="1:12" ht="15.75" customHeight="1">
      <c r="A394" s="8">
        <v>393</v>
      </c>
      <c r="B394" s="8" t="s">
        <v>234</v>
      </c>
      <c r="C394" s="1" t="s">
        <v>491</v>
      </c>
      <c r="D394" s="1" t="s">
        <v>505</v>
      </c>
      <c r="E394" s="1" t="s">
        <v>507</v>
      </c>
      <c r="F394" s="1" t="s">
        <v>213</v>
      </c>
      <c r="G394" s="8" t="s">
        <v>0</v>
      </c>
      <c r="H394" s="1">
        <v>30</v>
      </c>
      <c r="I394" s="10">
        <f>detail_avancement!B394</f>
        <v>0</v>
      </c>
      <c r="J394" s="10">
        <f t="shared" si="0"/>
        <v>30</v>
      </c>
      <c r="K394" s="13">
        <f t="shared" si="1"/>
        <v>0</v>
      </c>
      <c r="L394" s="14">
        <f t="shared" si="2"/>
        <v>0</v>
      </c>
    </row>
    <row r="395" spans="1:12" ht="15.75" customHeight="1">
      <c r="A395" s="8">
        <v>394</v>
      </c>
      <c r="B395" s="8" t="s">
        <v>234</v>
      </c>
      <c r="C395" s="1" t="s">
        <v>491</v>
      </c>
      <c r="D395" s="1" t="s">
        <v>505</v>
      </c>
      <c r="E395" s="1" t="s">
        <v>508</v>
      </c>
      <c r="F395" s="1" t="s">
        <v>213</v>
      </c>
      <c r="G395" s="8" t="s">
        <v>0</v>
      </c>
      <c r="H395" s="1">
        <v>30</v>
      </c>
      <c r="I395" s="10">
        <f>detail_avancement!B395</f>
        <v>0</v>
      </c>
      <c r="J395" s="10">
        <f t="shared" si="0"/>
        <v>30</v>
      </c>
      <c r="K395" s="13">
        <f t="shared" si="1"/>
        <v>0</v>
      </c>
      <c r="L395" s="14">
        <f t="shared" si="2"/>
        <v>0</v>
      </c>
    </row>
    <row r="396" spans="1:12" ht="15.75" customHeight="1">
      <c r="A396" s="8">
        <v>395</v>
      </c>
      <c r="B396" s="8" t="s">
        <v>234</v>
      </c>
      <c r="C396" s="1" t="s">
        <v>491</v>
      </c>
      <c r="D396" s="1" t="s">
        <v>505</v>
      </c>
      <c r="E396" s="1" t="s">
        <v>509</v>
      </c>
      <c r="F396" s="1" t="s">
        <v>213</v>
      </c>
      <c r="G396" s="8" t="s">
        <v>0</v>
      </c>
      <c r="H396" s="1">
        <v>30</v>
      </c>
      <c r="I396" s="10">
        <f>detail_avancement!B396</f>
        <v>0</v>
      </c>
      <c r="J396" s="10">
        <f t="shared" si="0"/>
        <v>30</v>
      </c>
      <c r="K396" s="13">
        <f t="shared" si="1"/>
        <v>0</v>
      </c>
      <c r="L396" s="14">
        <f t="shared" si="2"/>
        <v>0</v>
      </c>
    </row>
    <row r="397" spans="1:12" ht="15.75" customHeight="1">
      <c r="A397" s="8">
        <v>396</v>
      </c>
      <c r="B397" s="8" t="s">
        <v>234</v>
      </c>
      <c r="C397" s="1" t="s">
        <v>491</v>
      </c>
      <c r="D397" s="1" t="s">
        <v>505</v>
      </c>
      <c r="E397" s="1" t="s">
        <v>510</v>
      </c>
      <c r="F397" s="1" t="s">
        <v>213</v>
      </c>
      <c r="G397" s="8" t="s">
        <v>0</v>
      </c>
      <c r="H397" s="1">
        <v>30</v>
      </c>
      <c r="I397" s="10">
        <f>detail_avancement!B397</f>
        <v>0</v>
      </c>
      <c r="J397" s="10">
        <f t="shared" si="0"/>
        <v>30</v>
      </c>
      <c r="K397" s="13">
        <f t="shared" si="1"/>
        <v>0</v>
      </c>
      <c r="L397" s="14">
        <f t="shared" si="2"/>
        <v>0</v>
      </c>
    </row>
    <row r="398" spans="1:12" ht="15.75" customHeight="1">
      <c r="A398" s="8">
        <v>397</v>
      </c>
      <c r="B398" s="8" t="s">
        <v>234</v>
      </c>
      <c r="C398" s="1" t="s">
        <v>491</v>
      </c>
      <c r="D398" s="1" t="s">
        <v>511</v>
      </c>
      <c r="E398" s="1" t="s">
        <v>512</v>
      </c>
      <c r="F398" s="1" t="s">
        <v>227</v>
      </c>
      <c r="G398" s="8" t="s">
        <v>0</v>
      </c>
      <c r="H398" s="1">
        <v>45</v>
      </c>
      <c r="I398" s="10">
        <f>detail_avancement!B398</f>
        <v>0</v>
      </c>
      <c r="J398" s="10">
        <f t="shared" si="0"/>
        <v>45</v>
      </c>
      <c r="K398" s="13">
        <f t="shared" si="1"/>
        <v>0</v>
      </c>
      <c r="L398" s="14">
        <f t="shared" si="2"/>
        <v>0</v>
      </c>
    </row>
    <row r="399" spans="1:12" ht="15.75" customHeight="1">
      <c r="A399" s="8">
        <v>398</v>
      </c>
      <c r="B399" s="8" t="s">
        <v>234</v>
      </c>
      <c r="C399" s="1" t="s">
        <v>491</v>
      </c>
      <c r="D399" s="1" t="s">
        <v>511</v>
      </c>
      <c r="E399" s="1" t="s">
        <v>513</v>
      </c>
      <c r="F399" s="1" t="s">
        <v>227</v>
      </c>
      <c r="G399" s="8" t="s">
        <v>0</v>
      </c>
      <c r="H399" s="1">
        <v>15</v>
      </c>
      <c r="I399" s="10">
        <f>detail_avancement!B399</f>
        <v>0</v>
      </c>
      <c r="J399" s="10">
        <f t="shared" si="0"/>
        <v>15</v>
      </c>
      <c r="K399" s="13">
        <f t="shared" si="1"/>
        <v>0</v>
      </c>
      <c r="L399" s="14">
        <f t="shared" si="2"/>
        <v>0</v>
      </c>
    </row>
    <row r="400" spans="1:12" ht="15.75" customHeight="1">
      <c r="A400" s="8">
        <v>399</v>
      </c>
      <c r="B400" s="8" t="s">
        <v>234</v>
      </c>
      <c r="C400" s="1" t="s">
        <v>491</v>
      </c>
      <c r="D400" s="1" t="s">
        <v>511</v>
      </c>
      <c r="E400" s="1" t="s">
        <v>514</v>
      </c>
      <c r="F400" s="1" t="s">
        <v>227</v>
      </c>
      <c r="G400" s="8" t="s">
        <v>0</v>
      </c>
      <c r="H400" s="1">
        <v>15</v>
      </c>
      <c r="I400" s="10">
        <f>detail_avancement!B400</f>
        <v>0</v>
      </c>
      <c r="J400" s="10">
        <f t="shared" si="0"/>
        <v>15</v>
      </c>
      <c r="K400" s="13">
        <f t="shared" si="1"/>
        <v>0</v>
      </c>
      <c r="L400" s="14">
        <f t="shared" si="2"/>
        <v>0</v>
      </c>
    </row>
    <row r="401" spans="1:12" ht="15.75" customHeight="1">
      <c r="A401" s="8">
        <v>400</v>
      </c>
      <c r="B401" s="8" t="s">
        <v>234</v>
      </c>
      <c r="C401" s="1" t="s">
        <v>491</v>
      </c>
      <c r="D401" s="1" t="s">
        <v>511</v>
      </c>
      <c r="E401" s="1" t="s">
        <v>515</v>
      </c>
      <c r="F401" s="1" t="s">
        <v>227</v>
      </c>
      <c r="G401" s="8" t="s">
        <v>0</v>
      </c>
      <c r="H401" s="1">
        <v>15</v>
      </c>
      <c r="I401" s="10">
        <f>detail_avancement!B401</f>
        <v>0</v>
      </c>
      <c r="J401" s="10">
        <f t="shared" si="0"/>
        <v>15</v>
      </c>
      <c r="K401" s="13">
        <f t="shared" si="1"/>
        <v>0</v>
      </c>
      <c r="L401" s="14">
        <f t="shared" si="2"/>
        <v>0</v>
      </c>
    </row>
    <row r="402" spans="1:12" ht="15.75" customHeight="1">
      <c r="A402" s="8">
        <v>401</v>
      </c>
      <c r="B402" s="8" t="s">
        <v>234</v>
      </c>
      <c r="C402" s="1" t="s">
        <v>491</v>
      </c>
      <c r="D402" s="1" t="s">
        <v>511</v>
      </c>
      <c r="E402" s="1" t="s">
        <v>516</v>
      </c>
      <c r="F402" s="1" t="s">
        <v>227</v>
      </c>
      <c r="G402" s="8" t="s">
        <v>0</v>
      </c>
      <c r="H402" s="1">
        <v>30</v>
      </c>
      <c r="I402" s="10">
        <f>detail_avancement!B402</f>
        <v>0</v>
      </c>
      <c r="J402" s="10">
        <f t="shared" si="0"/>
        <v>30</v>
      </c>
      <c r="K402" s="13">
        <f t="shared" si="1"/>
        <v>0</v>
      </c>
      <c r="L402" s="14">
        <f t="shared" si="2"/>
        <v>0</v>
      </c>
    </row>
    <row r="403" spans="1:12" ht="15.75" customHeight="1">
      <c r="A403" s="8">
        <v>402</v>
      </c>
      <c r="B403" s="8" t="s">
        <v>234</v>
      </c>
      <c r="C403" s="1" t="s">
        <v>491</v>
      </c>
      <c r="D403" s="1" t="s">
        <v>511</v>
      </c>
      <c r="E403" s="1" t="s">
        <v>517</v>
      </c>
      <c r="F403" s="1" t="s">
        <v>267</v>
      </c>
      <c r="G403" s="8" t="s">
        <v>0</v>
      </c>
      <c r="H403" s="1">
        <v>30</v>
      </c>
      <c r="I403" s="10">
        <f>detail_avancement!B403</f>
        <v>0</v>
      </c>
      <c r="J403" s="10">
        <f t="shared" si="0"/>
        <v>30</v>
      </c>
      <c r="K403" s="13">
        <f t="shared" si="1"/>
        <v>0</v>
      </c>
      <c r="L403" s="14">
        <f t="shared" si="2"/>
        <v>0</v>
      </c>
    </row>
    <row r="404" spans="1:12" ht="15.75" customHeight="1">
      <c r="A404" s="8">
        <v>403</v>
      </c>
      <c r="B404" s="8" t="s">
        <v>234</v>
      </c>
      <c r="C404" s="1" t="s">
        <v>518</v>
      </c>
      <c r="D404" s="1" t="s">
        <v>519</v>
      </c>
      <c r="E404" s="1" t="s">
        <v>520</v>
      </c>
      <c r="F404" s="1" t="s">
        <v>213</v>
      </c>
      <c r="G404" s="8" t="s">
        <v>0</v>
      </c>
      <c r="H404" s="1">
        <v>30</v>
      </c>
      <c r="I404" s="10">
        <f>detail_avancement!B404</f>
        <v>0</v>
      </c>
      <c r="J404" s="10">
        <f t="shared" si="0"/>
        <v>30</v>
      </c>
      <c r="K404" s="13">
        <f t="shared" si="1"/>
        <v>0</v>
      </c>
      <c r="L404" s="14">
        <f t="shared" si="2"/>
        <v>0</v>
      </c>
    </row>
    <row r="405" spans="1:12" ht="15.75" customHeight="1">
      <c r="A405" s="8">
        <v>404</v>
      </c>
      <c r="B405" s="8" t="s">
        <v>234</v>
      </c>
      <c r="C405" s="1" t="s">
        <v>518</v>
      </c>
      <c r="D405" s="1" t="s">
        <v>519</v>
      </c>
      <c r="E405" s="1" t="s">
        <v>521</v>
      </c>
      <c r="F405" s="1" t="s">
        <v>213</v>
      </c>
      <c r="G405" s="8" t="s">
        <v>0</v>
      </c>
      <c r="H405" s="1">
        <v>30</v>
      </c>
      <c r="I405" s="10">
        <f>detail_avancement!B405</f>
        <v>0</v>
      </c>
      <c r="J405" s="10">
        <f t="shared" si="0"/>
        <v>30</v>
      </c>
      <c r="K405" s="13">
        <f t="shared" si="1"/>
        <v>0</v>
      </c>
      <c r="L405" s="14">
        <f t="shared" si="2"/>
        <v>0</v>
      </c>
    </row>
    <row r="406" spans="1:12" ht="15.75" customHeight="1">
      <c r="A406" s="8">
        <v>405</v>
      </c>
      <c r="B406" s="8" t="s">
        <v>234</v>
      </c>
      <c r="C406" s="1" t="s">
        <v>518</v>
      </c>
      <c r="D406" s="1" t="s">
        <v>519</v>
      </c>
      <c r="E406" s="1" t="s">
        <v>522</v>
      </c>
      <c r="F406" s="1" t="s">
        <v>213</v>
      </c>
      <c r="G406" s="8" t="s">
        <v>0</v>
      </c>
      <c r="H406" s="1">
        <v>30</v>
      </c>
      <c r="I406" s="10">
        <f>detail_avancement!B406</f>
        <v>0</v>
      </c>
      <c r="J406" s="10">
        <f t="shared" si="0"/>
        <v>30</v>
      </c>
      <c r="K406" s="13">
        <f t="shared" si="1"/>
        <v>0</v>
      </c>
      <c r="L406" s="14">
        <f t="shared" si="2"/>
        <v>0</v>
      </c>
    </row>
    <row r="407" spans="1:12" ht="15.75" customHeight="1">
      <c r="A407" s="8">
        <v>406</v>
      </c>
      <c r="B407" s="8" t="s">
        <v>234</v>
      </c>
      <c r="C407" s="1" t="s">
        <v>518</v>
      </c>
      <c r="D407" s="1" t="s">
        <v>519</v>
      </c>
      <c r="E407" s="1" t="s">
        <v>523</v>
      </c>
      <c r="F407" s="1" t="s">
        <v>213</v>
      </c>
      <c r="G407" s="8" t="s">
        <v>0</v>
      </c>
      <c r="H407" s="1">
        <v>30</v>
      </c>
      <c r="I407" s="10">
        <f>detail_avancement!B407</f>
        <v>0</v>
      </c>
      <c r="J407" s="10">
        <f t="shared" si="0"/>
        <v>30</v>
      </c>
      <c r="K407" s="13">
        <f t="shared" si="1"/>
        <v>0</v>
      </c>
      <c r="L407" s="14">
        <f t="shared" si="2"/>
        <v>0</v>
      </c>
    </row>
    <row r="408" spans="1:12" ht="15.75" customHeight="1">
      <c r="A408" s="8">
        <v>407</v>
      </c>
      <c r="B408" s="8" t="s">
        <v>234</v>
      </c>
      <c r="C408" s="1" t="s">
        <v>518</v>
      </c>
      <c r="D408" s="1" t="s">
        <v>524</v>
      </c>
      <c r="E408" s="1" t="s">
        <v>525</v>
      </c>
      <c r="F408" s="1" t="s">
        <v>227</v>
      </c>
      <c r="G408" s="8" t="s">
        <v>0</v>
      </c>
      <c r="H408" s="1">
        <v>30</v>
      </c>
      <c r="I408" s="10">
        <f>detail_avancement!B408</f>
        <v>0</v>
      </c>
      <c r="J408" s="10">
        <f t="shared" si="0"/>
        <v>30</v>
      </c>
      <c r="K408" s="13">
        <f t="shared" si="1"/>
        <v>0</v>
      </c>
      <c r="L408" s="14">
        <f t="shared" si="2"/>
        <v>0</v>
      </c>
    </row>
    <row r="409" spans="1:12" ht="15.75" customHeight="1">
      <c r="A409" s="8">
        <v>408</v>
      </c>
      <c r="B409" s="8" t="s">
        <v>234</v>
      </c>
      <c r="C409" s="1" t="s">
        <v>518</v>
      </c>
      <c r="D409" s="1" t="s">
        <v>524</v>
      </c>
      <c r="E409" s="1" t="s">
        <v>526</v>
      </c>
      <c r="F409" s="1" t="s">
        <v>227</v>
      </c>
      <c r="G409" s="8" t="s">
        <v>0</v>
      </c>
      <c r="H409" s="1">
        <v>30</v>
      </c>
      <c r="I409" s="10">
        <f>detail_avancement!B409</f>
        <v>0</v>
      </c>
      <c r="J409" s="10">
        <f t="shared" si="0"/>
        <v>30</v>
      </c>
      <c r="K409" s="13">
        <f t="shared" si="1"/>
        <v>0</v>
      </c>
      <c r="L409" s="14">
        <f t="shared" si="2"/>
        <v>0</v>
      </c>
    </row>
    <row r="410" spans="1:12" ht="15.75" customHeight="1">
      <c r="A410" s="8">
        <v>409</v>
      </c>
      <c r="B410" s="8" t="s">
        <v>234</v>
      </c>
      <c r="C410" s="1" t="s">
        <v>518</v>
      </c>
      <c r="D410" s="1" t="s">
        <v>524</v>
      </c>
      <c r="E410" s="1" t="s">
        <v>527</v>
      </c>
      <c r="F410" s="1" t="s">
        <v>227</v>
      </c>
      <c r="G410" s="8" t="s">
        <v>0</v>
      </c>
      <c r="H410" s="1">
        <v>30</v>
      </c>
      <c r="I410" s="10">
        <f>detail_avancement!B410</f>
        <v>0</v>
      </c>
      <c r="J410" s="10">
        <f t="shared" si="0"/>
        <v>30</v>
      </c>
      <c r="K410" s="13">
        <f t="shared" si="1"/>
        <v>0</v>
      </c>
      <c r="L410" s="14">
        <f t="shared" si="2"/>
        <v>0</v>
      </c>
    </row>
    <row r="411" spans="1:12" ht="15.75" customHeight="1">
      <c r="A411" s="8">
        <v>410</v>
      </c>
      <c r="B411" s="8" t="s">
        <v>234</v>
      </c>
      <c r="C411" s="1" t="s">
        <v>518</v>
      </c>
      <c r="D411" s="1" t="s">
        <v>524</v>
      </c>
      <c r="E411" s="1" t="s">
        <v>528</v>
      </c>
      <c r="F411" s="1" t="s">
        <v>227</v>
      </c>
      <c r="G411" s="8" t="s">
        <v>0</v>
      </c>
      <c r="H411" s="1">
        <v>30</v>
      </c>
      <c r="I411" s="10">
        <f>detail_avancement!B411</f>
        <v>0</v>
      </c>
      <c r="J411" s="10">
        <f t="shared" si="0"/>
        <v>30</v>
      </c>
      <c r="K411" s="13">
        <f t="shared" si="1"/>
        <v>0</v>
      </c>
      <c r="L411" s="14">
        <f t="shared" si="2"/>
        <v>0</v>
      </c>
    </row>
    <row r="412" spans="1:12" ht="15.75" customHeight="1">
      <c r="A412" s="8">
        <v>411</v>
      </c>
      <c r="B412" s="8" t="s">
        <v>234</v>
      </c>
      <c r="C412" s="1" t="s">
        <v>518</v>
      </c>
      <c r="D412" s="1" t="s">
        <v>524</v>
      </c>
      <c r="E412" s="1" t="s">
        <v>529</v>
      </c>
      <c r="F412" s="1" t="s">
        <v>267</v>
      </c>
      <c r="G412" s="8" t="s">
        <v>0</v>
      </c>
      <c r="H412" s="1">
        <v>30</v>
      </c>
      <c r="I412" s="10">
        <f>detail_avancement!B412</f>
        <v>0</v>
      </c>
      <c r="J412" s="10">
        <f t="shared" si="0"/>
        <v>30</v>
      </c>
      <c r="K412" s="13">
        <f t="shared" si="1"/>
        <v>0</v>
      </c>
      <c r="L412" s="14">
        <f t="shared" si="2"/>
        <v>0</v>
      </c>
    </row>
    <row r="413" spans="1:12" ht="15.75" customHeight="1">
      <c r="A413" s="8">
        <v>412</v>
      </c>
      <c r="B413" s="8" t="s">
        <v>234</v>
      </c>
      <c r="C413" s="1" t="s">
        <v>518</v>
      </c>
      <c r="D413" s="1" t="s">
        <v>524</v>
      </c>
      <c r="E413" s="1" t="s">
        <v>409</v>
      </c>
      <c r="F413" s="1" t="s">
        <v>267</v>
      </c>
      <c r="G413" s="8" t="s">
        <v>0</v>
      </c>
      <c r="H413" s="1">
        <v>30</v>
      </c>
      <c r="I413" s="10">
        <f>detail_avancement!B413</f>
        <v>0</v>
      </c>
      <c r="J413" s="10">
        <f t="shared" si="0"/>
        <v>30</v>
      </c>
      <c r="K413" s="13">
        <f t="shared" si="1"/>
        <v>0</v>
      </c>
      <c r="L413" s="14">
        <f t="shared" si="2"/>
        <v>0</v>
      </c>
    </row>
    <row r="414" spans="1:12" ht="15.75" customHeight="1">
      <c r="A414" s="8">
        <v>413</v>
      </c>
      <c r="B414" s="8" t="s">
        <v>234</v>
      </c>
      <c r="C414" s="1" t="s">
        <v>530</v>
      </c>
      <c r="D414" s="1" t="s">
        <v>531</v>
      </c>
      <c r="E414" s="1" t="s">
        <v>532</v>
      </c>
      <c r="F414" s="1" t="s">
        <v>213</v>
      </c>
      <c r="G414" s="8" t="s">
        <v>0</v>
      </c>
      <c r="H414" s="1">
        <v>30</v>
      </c>
      <c r="I414" s="10">
        <f>detail_avancement!B414</f>
        <v>0</v>
      </c>
      <c r="J414" s="10">
        <f t="shared" si="0"/>
        <v>30</v>
      </c>
      <c r="K414" s="13">
        <f t="shared" si="1"/>
        <v>0</v>
      </c>
      <c r="L414" s="14">
        <f t="shared" si="2"/>
        <v>0</v>
      </c>
    </row>
    <row r="415" spans="1:12" ht="15.75" customHeight="1">
      <c r="A415" s="8">
        <v>414</v>
      </c>
      <c r="B415" s="8" t="s">
        <v>234</v>
      </c>
      <c r="C415" s="1" t="s">
        <v>530</v>
      </c>
      <c r="D415" s="1" t="s">
        <v>531</v>
      </c>
      <c r="E415" s="1" t="s">
        <v>533</v>
      </c>
      <c r="F415" s="1" t="s">
        <v>213</v>
      </c>
      <c r="G415" s="8" t="s">
        <v>0</v>
      </c>
      <c r="H415" s="1">
        <v>30</v>
      </c>
      <c r="I415" s="10">
        <f>detail_avancement!B415</f>
        <v>0</v>
      </c>
      <c r="J415" s="10">
        <f t="shared" si="0"/>
        <v>30</v>
      </c>
      <c r="K415" s="13">
        <f t="shared" si="1"/>
        <v>0</v>
      </c>
      <c r="L415" s="14">
        <f t="shared" si="2"/>
        <v>0</v>
      </c>
    </row>
    <row r="416" spans="1:12" ht="15.75" customHeight="1">
      <c r="A416" s="8">
        <v>415</v>
      </c>
      <c r="B416" s="8" t="s">
        <v>234</v>
      </c>
      <c r="C416" s="1" t="s">
        <v>530</v>
      </c>
      <c r="D416" s="1" t="s">
        <v>531</v>
      </c>
      <c r="E416" s="1" t="s">
        <v>534</v>
      </c>
      <c r="F416" s="1" t="s">
        <v>213</v>
      </c>
      <c r="G416" s="8" t="s">
        <v>0</v>
      </c>
      <c r="H416" s="1">
        <v>30</v>
      </c>
      <c r="I416" s="10">
        <f>detail_avancement!B416</f>
        <v>0</v>
      </c>
      <c r="J416" s="10">
        <f t="shared" si="0"/>
        <v>30</v>
      </c>
      <c r="K416" s="13">
        <f t="shared" si="1"/>
        <v>0</v>
      </c>
      <c r="L416" s="14">
        <f t="shared" si="2"/>
        <v>0</v>
      </c>
    </row>
    <row r="417" spans="1:12" ht="15.75" customHeight="1">
      <c r="A417" s="8">
        <v>416</v>
      </c>
      <c r="B417" s="8" t="s">
        <v>234</v>
      </c>
      <c r="C417" s="1" t="s">
        <v>530</v>
      </c>
      <c r="D417" s="1" t="s">
        <v>531</v>
      </c>
      <c r="E417" s="1" t="s">
        <v>535</v>
      </c>
      <c r="F417" s="1" t="s">
        <v>213</v>
      </c>
      <c r="G417" s="8" t="s">
        <v>0</v>
      </c>
      <c r="H417" s="1">
        <v>30</v>
      </c>
      <c r="I417" s="10">
        <f>detail_avancement!B417</f>
        <v>0</v>
      </c>
      <c r="J417" s="10">
        <f t="shared" si="0"/>
        <v>30</v>
      </c>
      <c r="K417" s="13">
        <f t="shared" si="1"/>
        <v>0</v>
      </c>
      <c r="L417" s="14">
        <f t="shared" si="2"/>
        <v>0</v>
      </c>
    </row>
    <row r="418" spans="1:12" ht="15.75" customHeight="1">
      <c r="A418" s="8">
        <v>417</v>
      </c>
      <c r="B418" s="8" t="s">
        <v>234</v>
      </c>
      <c r="C418" s="1" t="s">
        <v>530</v>
      </c>
      <c r="D418" s="1" t="s">
        <v>536</v>
      </c>
      <c r="E418" s="1" t="s">
        <v>537</v>
      </c>
      <c r="F418" s="1" t="s">
        <v>227</v>
      </c>
      <c r="G418" s="8" t="s">
        <v>0</v>
      </c>
      <c r="H418" s="1">
        <v>30</v>
      </c>
      <c r="I418" s="10">
        <f>detail_avancement!B418</f>
        <v>0</v>
      </c>
      <c r="J418" s="10">
        <f t="shared" si="0"/>
        <v>30</v>
      </c>
      <c r="K418" s="13">
        <f t="shared" si="1"/>
        <v>0</v>
      </c>
      <c r="L418" s="14">
        <f t="shared" si="2"/>
        <v>0</v>
      </c>
    </row>
    <row r="419" spans="1:12" ht="15.75" customHeight="1">
      <c r="A419" s="8">
        <v>418</v>
      </c>
      <c r="B419" s="8" t="s">
        <v>234</v>
      </c>
      <c r="C419" s="1" t="s">
        <v>530</v>
      </c>
      <c r="D419" s="1" t="s">
        <v>536</v>
      </c>
      <c r="E419" s="1" t="s">
        <v>538</v>
      </c>
      <c r="F419" s="1" t="s">
        <v>227</v>
      </c>
      <c r="G419" s="8" t="s">
        <v>0</v>
      </c>
      <c r="H419" s="1">
        <v>30</v>
      </c>
      <c r="I419" s="10">
        <f>detail_avancement!B419</f>
        <v>0</v>
      </c>
      <c r="J419" s="10">
        <f t="shared" si="0"/>
        <v>30</v>
      </c>
      <c r="K419" s="13">
        <f t="shared" si="1"/>
        <v>0</v>
      </c>
      <c r="L419" s="14">
        <f t="shared" si="2"/>
        <v>0</v>
      </c>
    </row>
    <row r="420" spans="1:12" ht="15.75" customHeight="1">
      <c r="A420" s="8">
        <v>419</v>
      </c>
      <c r="B420" s="8" t="s">
        <v>234</v>
      </c>
      <c r="C420" s="1" t="s">
        <v>530</v>
      </c>
      <c r="D420" s="1" t="s">
        <v>539</v>
      </c>
      <c r="E420" s="1" t="s">
        <v>540</v>
      </c>
      <c r="F420" s="1" t="s">
        <v>227</v>
      </c>
      <c r="G420" s="8" t="s">
        <v>0</v>
      </c>
      <c r="H420" s="1">
        <v>30</v>
      </c>
      <c r="I420" s="10">
        <f>detail_avancement!B420</f>
        <v>0</v>
      </c>
      <c r="J420" s="10">
        <f t="shared" si="0"/>
        <v>30</v>
      </c>
      <c r="K420" s="13">
        <f t="shared" si="1"/>
        <v>0</v>
      </c>
      <c r="L420" s="14">
        <f t="shared" si="2"/>
        <v>0</v>
      </c>
    </row>
    <row r="421" spans="1:12" ht="15.75" customHeight="1">
      <c r="A421" s="8">
        <v>420</v>
      </c>
      <c r="B421" s="8" t="s">
        <v>234</v>
      </c>
      <c r="C421" s="1" t="s">
        <v>530</v>
      </c>
      <c r="D421" s="1" t="s">
        <v>539</v>
      </c>
      <c r="E421" s="1" t="s">
        <v>541</v>
      </c>
      <c r="F421" s="1" t="s">
        <v>227</v>
      </c>
      <c r="G421" s="8" t="s">
        <v>0</v>
      </c>
      <c r="H421" s="1">
        <v>30</v>
      </c>
      <c r="I421" s="10">
        <f>detail_avancement!B421</f>
        <v>0</v>
      </c>
      <c r="J421" s="10">
        <f t="shared" si="0"/>
        <v>30</v>
      </c>
      <c r="K421" s="13">
        <f t="shared" si="1"/>
        <v>0</v>
      </c>
      <c r="L421" s="14">
        <f t="shared" si="2"/>
        <v>0</v>
      </c>
    </row>
    <row r="422" spans="1:12" ht="15.75" customHeight="1">
      <c r="A422" s="8">
        <v>421</v>
      </c>
      <c r="B422" s="8" t="s">
        <v>234</v>
      </c>
      <c r="C422" s="1" t="s">
        <v>530</v>
      </c>
      <c r="D422" s="1" t="s">
        <v>539</v>
      </c>
      <c r="E422" s="1" t="s">
        <v>542</v>
      </c>
      <c r="F422" s="1" t="s">
        <v>267</v>
      </c>
      <c r="G422" s="8" t="s">
        <v>0</v>
      </c>
      <c r="H422" s="1">
        <v>30</v>
      </c>
      <c r="I422" s="10">
        <f>detail_avancement!B422</f>
        <v>0</v>
      </c>
      <c r="J422" s="10">
        <f t="shared" si="0"/>
        <v>30</v>
      </c>
      <c r="K422" s="13">
        <f t="shared" si="1"/>
        <v>0</v>
      </c>
      <c r="L422" s="14">
        <f t="shared" si="2"/>
        <v>0</v>
      </c>
    </row>
    <row r="423" spans="1:12" ht="15.75" customHeight="1">
      <c r="A423" s="8">
        <v>422</v>
      </c>
      <c r="B423" s="8" t="s">
        <v>234</v>
      </c>
      <c r="C423" s="1" t="s">
        <v>530</v>
      </c>
      <c r="D423" s="1" t="s">
        <v>543</v>
      </c>
      <c r="E423" s="1" t="s">
        <v>412</v>
      </c>
      <c r="F423" s="1" t="s">
        <v>106</v>
      </c>
      <c r="G423" s="8" t="s">
        <v>0</v>
      </c>
      <c r="H423" s="1">
        <v>15</v>
      </c>
      <c r="I423" s="10">
        <f>detail_avancement!B423</f>
        <v>0</v>
      </c>
      <c r="J423" s="10">
        <f t="shared" si="0"/>
        <v>15</v>
      </c>
      <c r="K423" s="13">
        <f t="shared" si="1"/>
        <v>0</v>
      </c>
      <c r="L423" s="14">
        <f t="shared" si="2"/>
        <v>0</v>
      </c>
    </row>
    <row r="424" spans="1:12" ht="15.75" customHeight="1">
      <c r="A424" s="8">
        <v>423</v>
      </c>
      <c r="B424" s="8" t="s">
        <v>234</v>
      </c>
      <c r="C424" s="1" t="s">
        <v>530</v>
      </c>
      <c r="D424" s="1" t="s">
        <v>543</v>
      </c>
      <c r="E424" s="1" t="s">
        <v>544</v>
      </c>
      <c r="F424" s="1" t="s">
        <v>62</v>
      </c>
      <c r="G424" s="8" t="s">
        <v>0</v>
      </c>
      <c r="H424" s="1">
        <v>15</v>
      </c>
      <c r="I424" s="10">
        <f>detail_avancement!B424</f>
        <v>0</v>
      </c>
      <c r="J424" s="10">
        <f t="shared" si="0"/>
        <v>15</v>
      </c>
      <c r="K424" s="13">
        <f t="shared" si="1"/>
        <v>0</v>
      </c>
      <c r="L424" s="14">
        <f t="shared" si="2"/>
        <v>0</v>
      </c>
    </row>
    <row r="425" spans="1:12" ht="15.75" customHeight="1">
      <c r="A425" s="8">
        <v>424</v>
      </c>
      <c r="B425" s="8" t="s">
        <v>234</v>
      </c>
      <c r="C425" s="1" t="s">
        <v>545</v>
      </c>
      <c r="D425" s="1" t="s">
        <v>546</v>
      </c>
      <c r="E425" s="1" t="s">
        <v>547</v>
      </c>
      <c r="F425" s="1" t="s">
        <v>213</v>
      </c>
      <c r="G425" s="8" t="s">
        <v>0</v>
      </c>
      <c r="H425" s="1">
        <v>30</v>
      </c>
      <c r="I425" s="10">
        <f>detail_avancement!B425</f>
        <v>0</v>
      </c>
      <c r="J425" s="10">
        <f t="shared" si="0"/>
        <v>30</v>
      </c>
      <c r="K425" s="13">
        <f t="shared" si="1"/>
        <v>0</v>
      </c>
      <c r="L425" s="14">
        <f t="shared" si="2"/>
        <v>0</v>
      </c>
    </row>
    <row r="426" spans="1:12" ht="15.75" customHeight="1">
      <c r="A426" s="8">
        <v>425</v>
      </c>
      <c r="B426" s="8" t="s">
        <v>234</v>
      </c>
      <c r="C426" s="1" t="s">
        <v>545</v>
      </c>
      <c r="D426" s="1" t="s">
        <v>546</v>
      </c>
      <c r="E426" s="1" t="s">
        <v>548</v>
      </c>
      <c r="F426" s="1" t="s">
        <v>213</v>
      </c>
      <c r="G426" s="8" t="s">
        <v>0</v>
      </c>
      <c r="H426" s="1">
        <v>30</v>
      </c>
      <c r="I426" s="10">
        <f>detail_avancement!B426</f>
        <v>0</v>
      </c>
      <c r="J426" s="10">
        <f t="shared" si="0"/>
        <v>30</v>
      </c>
      <c r="K426" s="13">
        <f t="shared" si="1"/>
        <v>0</v>
      </c>
      <c r="L426" s="14">
        <f t="shared" si="2"/>
        <v>0</v>
      </c>
    </row>
    <row r="427" spans="1:12" ht="15.75" customHeight="1">
      <c r="A427" s="8">
        <v>426</v>
      </c>
      <c r="B427" s="8" t="s">
        <v>234</v>
      </c>
      <c r="C427" s="1" t="s">
        <v>545</v>
      </c>
      <c r="D427" s="1" t="s">
        <v>546</v>
      </c>
      <c r="E427" s="1" t="s">
        <v>549</v>
      </c>
      <c r="F427" s="1" t="s">
        <v>213</v>
      </c>
      <c r="G427" s="8" t="s">
        <v>0</v>
      </c>
      <c r="H427" s="1">
        <v>30</v>
      </c>
      <c r="I427" s="10">
        <f>detail_avancement!B427</f>
        <v>0</v>
      </c>
      <c r="J427" s="10">
        <f t="shared" si="0"/>
        <v>30</v>
      </c>
      <c r="K427" s="13">
        <f t="shared" si="1"/>
        <v>0</v>
      </c>
      <c r="L427" s="14">
        <f t="shared" si="2"/>
        <v>0</v>
      </c>
    </row>
    <row r="428" spans="1:12" ht="15.75" customHeight="1">
      <c r="A428" s="8">
        <v>427</v>
      </c>
      <c r="B428" s="8" t="s">
        <v>234</v>
      </c>
      <c r="C428" s="1" t="s">
        <v>545</v>
      </c>
      <c r="D428" s="1" t="s">
        <v>546</v>
      </c>
      <c r="E428" s="1" t="s">
        <v>550</v>
      </c>
      <c r="F428" s="1" t="s">
        <v>213</v>
      </c>
      <c r="G428" s="8" t="s">
        <v>0</v>
      </c>
      <c r="H428" s="1">
        <v>30</v>
      </c>
      <c r="I428" s="10">
        <f>detail_avancement!B428</f>
        <v>0</v>
      </c>
      <c r="J428" s="10">
        <f t="shared" si="0"/>
        <v>30</v>
      </c>
      <c r="K428" s="13">
        <f t="shared" si="1"/>
        <v>0</v>
      </c>
      <c r="L428" s="14">
        <f t="shared" si="2"/>
        <v>0</v>
      </c>
    </row>
    <row r="429" spans="1:12" ht="15.75" customHeight="1">
      <c r="A429" s="8">
        <v>428</v>
      </c>
      <c r="B429" s="8" t="s">
        <v>234</v>
      </c>
      <c r="C429" s="1" t="s">
        <v>545</v>
      </c>
      <c r="D429" s="1" t="s">
        <v>546</v>
      </c>
      <c r="E429" s="1" t="s">
        <v>551</v>
      </c>
      <c r="F429" s="1" t="s">
        <v>213</v>
      </c>
      <c r="G429" s="8" t="s">
        <v>0</v>
      </c>
      <c r="H429" s="1">
        <v>30</v>
      </c>
      <c r="I429" s="10">
        <f>detail_avancement!B429</f>
        <v>0</v>
      </c>
      <c r="J429" s="10">
        <f t="shared" si="0"/>
        <v>30</v>
      </c>
      <c r="K429" s="13">
        <f t="shared" si="1"/>
        <v>0</v>
      </c>
      <c r="L429" s="14">
        <f t="shared" si="2"/>
        <v>0</v>
      </c>
    </row>
    <row r="430" spans="1:12" ht="15.75" customHeight="1">
      <c r="A430" s="8">
        <v>429</v>
      </c>
      <c r="B430" s="8" t="s">
        <v>234</v>
      </c>
      <c r="C430" s="1" t="s">
        <v>545</v>
      </c>
      <c r="D430" s="1" t="s">
        <v>546</v>
      </c>
      <c r="E430" s="1" t="s">
        <v>552</v>
      </c>
      <c r="F430" s="1" t="s">
        <v>106</v>
      </c>
      <c r="G430" s="8" t="s">
        <v>0</v>
      </c>
      <c r="H430" s="1">
        <v>30</v>
      </c>
      <c r="I430" s="10">
        <f>detail_avancement!B430</f>
        <v>0</v>
      </c>
      <c r="J430" s="10">
        <f t="shared" si="0"/>
        <v>30</v>
      </c>
      <c r="K430" s="13">
        <f t="shared" si="1"/>
        <v>0</v>
      </c>
      <c r="L430" s="14">
        <f t="shared" si="2"/>
        <v>0</v>
      </c>
    </row>
    <row r="431" spans="1:12" ht="15.75" customHeight="1">
      <c r="A431" s="8">
        <v>430</v>
      </c>
      <c r="B431" s="8" t="s">
        <v>234</v>
      </c>
      <c r="C431" s="1" t="s">
        <v>545</v>
      </c>
      <c r="D431" s="1" t="s">
        <v>546</v>
      </c>
      <c r="E431" s="1" t="s">
        <v>553</v>
      </c>
      <c r="F431" s="1" t="s">
        <v>106</v>
      </c>
      <c r="G431" s="8" t="s">
        <v>0</v>
      </c>
      <c r="H431" s="1">
        <v>30</v>
      </c>
      <c r="I431" s="10">
        <f>detail_avancement!B431</f>
        <v>0</v>
      </c>
      <c r="J431" s="10">
        <f t="shared" si="0"/>
        <v>30</v>
      </c>
      <c r="K431" s="13">
        <f t="shared" si="1"/>
        <v>0</v>
      </c>
      <c r="L431" s="14">
        <f t="shared" si="2"/>
        <v>0</v>
      </c>
    </row>
    <row r="432" spans="1:12" ht="15.75" customHeight="1">
      <c r="A432" s="8">
        <v>431</v>
      </c>
      <c r="B432" s="8" t="s">
        <v>234</v>
      </c>
      <c r="C432" s="1" t="s">
        <v>545</v>
      </c>
      <c r="D432" s="1" t="s">
        <v>546</v>
      </c>
      <c r="E432" s="1" t="s">
        <v>554</v>
      </c>
      <c r="F432" s="1" t="s">
        <v>106</v>
      </c>
      <c r="G432" s="8" t="s">
        <v>0</v>
      </c>
      <c r="H432" s="1">
        <v>30</v>
      </c>
      <c r="I432" s="10">
        <f>detail_avancement!B432</f>
        <v>0</v>
      </c>
      <c r="J432" s="10">
        <f t="shared" si="0"/>
        <v>30</v>
      </c>
      <c r="K432" s="13">
        <f t="shared" si="1"/>
        <v>0</v>
      </c>
      <c r="L432" s="14">
        <f t="shared" si="2"/>
        <v>0</v>
      </c>
    </row>
    <row r="433" spans="1:12" ht="15.75" customHeight="1">
      <c r="A433" s="8">
        <v>432</v>
      </c>
      <c r="B433" s="8" t="s">
        <v>234</v>
      </c>
      <c r="C433" s="1" t="s">
        <v>545</v>
      </c>
      <c r="D433" s="1" t="s">
        <v>546</v>
      </c>
      <c r="E433" s="1" t="s">
        <v>555</v>
      </c>
      <c r="F433" s="1" t="s">
        <v>106</v>
      </c>
      <c r="G433" s="8" t="s">
        <v>0</v>
      </c>
      <c r="H433" s="1">
        <v>30</v>
      </c>
      <c r="I433" s="10">
        <f>detail_avancement!B433</f>
        <v>0</v>
      </c>
      <c r="J433" s="10">
        <f t="shared" si="0"/>
        <v>30</v>
      </c>
      <c r="K433" s="13">
        <f t="shared" si="1"/>
        <v>0</v>
      </c>
      <c r="L433" s="14">
        <f t="shared" si="2"/>
        <v>0</v>
      </c>
    </row>
    <row r="434" spans="1:12" ht="15.75" customHeight="1">
      <c r="A434" s="8">
        <v>433</v>
      </c>
      <c r="B434" s="8" t="s">
        <v>234</v>
      </c>
      <c r="C434" s="1" t="s">
        <v>545</v>
      </c>
      <c r="D434" s="1" t="s">
        <v>546</v>
      </c>
      <c r="E434" s="1" t="s">
        <v>556</v>
      </c>
      <c r="F434" s="1" t="s">
        <v>106</v>
      </c>
      <c r="G434" s="8" t="s">
        <v>0</v>
      </c>
      <c r="H434" s="1">
        <v>30</v>
      </c>
      <c r="I434" s="10">
        <f>detail_avancement!B434</f>
        <v>0</v>
      </c>
      <c r="J434" s="10">
        <f t="shared" si="0"/>
        <v>30</v>
      </c>
      <c r="K434" s="13">
        <f t="shared" si="1"/>
        <v>0</v>
      </c>
      <c r="L434" s="14">
        <f t="shared" si="2"/>
        <v>0</v>
      </c>
    </row>
    <row r="435" spans="1:12" ht="15.75" customHeight="1">
      <c r="A435" s="8">
        <v>434</v>
      </c>
      <c r="B435" s="8" t="s">
        <v>234</v>
      </c>
      <c r="C435" s="1" t="s">
        <v>545</v>
      </c>
      <c r="D435" s="1" t="s">
        <v>557</v>
      </c>
      <c r="E435" s="1" t="s">
        <v>558</v>
      </c>
      <c r="F435" s="1" t="s">
        <v>213</v>
      </c>
      <c r="G435" s="8" t="s">
        <v>0</v>
      </c>
      <c r="H435" s="1">
        <v>15</v>
      </c>
      <c r="I435" s="10">
        <f>detail_avancement!B435</f>
        <v>0</v>
      </c>
      <c r="J435" s="10">
        <f t="shared" si="0"/>
        <v>15</v>
      </c>
      <c r="K435" s="13">
        <f t="shared" si="1"/>
        <v>0</v>
      </c>
      <c r="L435" s="14">
        <f t="shared" si="2"/>
        <v>0</v>
      </c>
    </row>
    <row r="436" spans="1:12" ht="15.75" customHeight="1">
      <c r="A436" s="8">
        <v>435</v>
      </c>
      <c r="B436" s="8" t="s">
        <v>234</v>
      </c>
      <c r="C436" s="1" t="s">
        <v>545</v>
      </c>
      <c r="D436" s="1" t="s">
        <v>557</v>
      </c>
      <c r="E436" s="1" t="s">
        <v>559</v>
      </c>
      <c r="F436" s="1" t="s">
        <v>213</v>
      </c>
      <c r="G436" s="8" t="s">
        <v>0</v>
      </c>
      <c r="H436" s="1">
        <v>30</v>
      </c>
      <c r="I436" s="10">
        <f>detail_avancement!B436</f>
        <v>0</v>
      </c>
      <c r="J436" s="10">
        <f t="shared" si="0"/>
        <v>30</v>
      </c>
      <c r="K436" s="13">
        <f t="shared" si="1"/>
        <v>0</v>
      </c>
      <c r="L436" s="14">
        <f t="shared" si="2"/>
        <v>0</v>
      </c>
    </row>
    <row r="437" spans="1:12" ht="15.75" customHeight="1">
      <c r="A437" s="8">
        <v>436</v>
      </c>
      <c r="B437" s="8" t="s">
        <v>234</v>
      </c>
      <c r="C437" s="1" t="s">
        <v>545</v>
      </c>
      <c r="D437" s="1" t="s">
        <v>557</v>
      </c>
      <c r="E437" s="1" t="s">
        <v>560</v>
      </c>
      <c r="F437" s="1" t="s">
        <v>213</v>
      </c>
      <c r="G437" s="8" t="s">
        <v>0</v>
      </c>
      <c r="H437" s="1">
        <v>30</v>
      </c>
      <c r="I437" s="10">
        <f>detail_avancement!B437</f>
        <v>0</v>
      </c>
      <c r="J437" s="10">
        <f t="shared" si="0"/>
        <v>30</v>
      </c>
      <c r="K437" s="13">
        <f t="shared" si="1"/>
        <v>0</v>
      </c>
      <c r="L437" s="14">
        <f t="shared" si="2"/>
        <v>0</v>
      </c>
    </row>
    <row r="438" spans="1:12" ht="15.75" customHeight="1">
      <c r="A438" s="8">
        <v>437</v>
      </c>
      <c r="B438" s="8" t="s">
        <v>234</v>
      </c>
      <c r="C438" s="1" t="s">
        <v>545</v>
      </c>
      <c r="D438" s="1" t="s">
        <v>557</v>
      </c>
      <c r="E438" s="1" t="s">
        <v>561</v>
      </c>
      <c r="F438" s="1" t="s">
        <v>213</v>
      </c>
      <c r="G438" s="8" t="s">
        <v>0</v>
      </c>
      <c r="H438" s="1">
        <v>15</v>
      </c>
      <c r="I438" s="10">
        <f>detail_avancement!B438</f>
        <v>0</v>
      </c>
      <c r="J438" s="10">
        <f t="shared" si="0"/>
        <v>15</v>
      </c>
      <c r="K438" s="13">
        <f t="shared" si="1"/>
        <v>0</v>
      </c>
      <c r="L438" s="14">
        <f t="shared" si="2"/>
        <v>0</v>
      </c>
    </row>
    <row r="439" spans="1:12" ht="15.75" customHeight="1">
      <c r="A439" s="8">
        <v>438</v>
      </c>
      <c r="B439" s="8" t="s">
        <v>234</v>
      </c>
      <c r="C439" s="1" t="s">
        <v>545</v>
      </c>
      <c r="D439" s="1" t="s">
        <v>557</v>
      </c>
      <c r="E439" s="1" t="s">
        <v>562</v>
      </c>
      <c r="F439" s="1" t="s">
        <v>213</v>
      </c>
      <c r="G439" s="8" t="s">
        <v>0</v>
      </c>
      <c r="H439" s="1">
        <v>30</v>
      </c>
      <c r="I439" s="10">
        <f>detail_avancement!B439</f>
        <v>0</v>
      </c>
      <c r="J439" s="10">
        <f t="shared" si="0"/>
        <v>30</v>
      </c>
      <c r="K439" s="13">
        <f t="shared" si="1"/>
        <v>0</v>
      </c>
      <c r="L439" s="14">
        <f t="shared" si="2"/>
        <v>0</v>
      </c>
    </row>
    <row r="440" spans="1:12" ht="15.75" customHeight="1">
      <c r="A440" s="8">
        <v>439</v>
      </c>
      <c r="B440" s="8" t="s">
        <v>234</v>
      </c>
      <c r="C440" s="1" t="s">
        <v>545</v>
      </c>
      <c r="D440" s="1" t="s">
        <v>557</v>
      </c>
      <c r="E440" s="1" t="s">
        <v>563</v>
      </c>
      <c r="F440" s="1" t="s">
        <v>213</v>
      </c>
      <c r="G440" s="8" t="s">
        <v>0</v>
      </c>
      <c r="H440" s="1">
        <v>30</v>
      </c>
      <c r="I440" s="10">
        <f>detail_avancement!B440</f>
        <v>0</v>
      </c>
      <c r="J440" s="10">
        <f t="shared" si="0"/>
        <v>30</v>
      </c>
      <c r="K440" s="13">
        <f t="shared" si="1"/>
        <v>0</v>
      </c>
      <c r="L440" s="14">
        <f t="shared" si="2"/>
        <v>0</v>
      </c>
    </row>
    <row r="441" spans="1:12" ht="15.75" customHeight="1">
      <c r="A441" s="8">
        <v>440</v>
      </c>
      <c r="B441" s="8" t="s">
        <v>234</v>
      </c>
      <c r="C441" s="1" t="s">
        <v>545</v>
      </c>
      <c r="D441" s="1" t="s">
        <v>557</v>
      </c>
      <c r="E441" s="1" t="s">
        <v>564</v>
      </c>
      <c r="F441" s="1" t="s">
        <v>213</v>
      </c>
      <c r="G441" s="8" t="s">
        <v>0</v>
      </c>
      <c r="H441" s="1">
        <v>30</v>
      </c>
      <c r="I441" s="10">
        <f>detail_avancement!B441</f>
        <v>0</v>
      </c>
      <c r="J441" s="10">
        <f t="shared" si="0"/>
        <v>30</v>
      </c>
      <c r="K441" s="13">
        <f t="shared" si="1"/>
        <v>0</v>
      </c>
      <c r="L441" s="14">
        <f t="shared" si="2"/>
        <v>0</v>
      </c>
    </row>
    <row r="442" spans="1:12" ht="15.75" customHeight="1">
      <c r="A442" s="8">
        <v>441</v>
      </c>
      <c r="B442" s="8" t="s">
        <v>234</v>
      </c>
      <c r="C442" s="1" t="s">
        <v>545</v>
      </c>
      <c r="D442" s="1" t="s">
        <v>557</v>
      </c>
      <c r="E442" s="1" t="s">
        <v>565</v>
      </c>
      <c r="F442" s="1" t="s">
        <v>213</v>
      </c>
      <c r="G442" s="8" t="s">
        <v>0</v>
      </c>
      <c r="H442" s="1">
        <v>30</v>
      </c>
      <c r="I442" s="10">
        <f>detail_avancement!B442</f>
        <v>0</v>
      </c>
      <c r="J442" s="10">
        <f t="shared" si="0"/>
        <v>30</v>
      </c>
      <c r="K442" s="13">
        <f t="shared" si="1"/>
        <v>0</v>
      </c>
      <c r="L442" s="14">
        <f t="shared" si="2"/>
        <v>0</v>
      </c>
    </row>
    <row r="443" spans="1:12" ht="15.75" customHeight="1">
      <c r="A443" s="8">
        <v>442</v>
      </c>
      <c r="B443" s="8" t="s">
        <v>234</v>
      </c>
      <c r="C443" s="1" t="s">
        <v>545</v>
      </c>
      <c r="D443" s="1" t="s">
        <v>557</v>
      </c>
      <c r="E443" s="1" t="s">
        <v>566</v>
      </c>
      <c r="F443" s="1" t="s">
        <v>213</v>
      </c>
      <c r="G443" s="8" t="s">
        <v>0</v>
      </c>
      <c r="H443" s="1">
        <v>30</v>
      </c>
      <c r="I443" s="10">
        <f>detail_avancement!B443</f>
        <v>0</v>
      </c>
      <c r="J443" s="10">
        <f t="shared" si="0"/>
        <v>30</v>
      </c>
      <c r="K443" s="13">
        <f t="shared" si="1"/>
        <v>0</v>
      </c>
      <c r="L443" s="14">
        <f t="shared" si="2"/>
        <v>0</v>
      </c>
    </row>
    <row r="444" spans="1:12" ht="15.75" customHeight="1">
      <c r="A444" s="8">
        <v>443</v>
      </c>
      <c r="B444" s="8" t="s">
        <v>234</v>
      </c>
      <c r="C444" s="1" t="s">
        <v>545</v>
      </c>
      <c r="D444" s="1" t="s">
        <v>557</v>
      </c>
      <c r="E444" s="1" t="s">
        <v>567</v>
      </c>
      <c r="F444" s="1" t="s">
        <v>213</v>
      </c>
      <c r="G444" s="8" t="s">
        <v>0</v>
      </c>
      <c r="H444" s="1">
        <v>30</v>
      </c>
      <c r="I444" s="10">
        <f>detail_avancement!B444</f>
        <v>0</v>
      </c>
      <c r="J444" s="10">
        <f t="shared" si="0"/>
        <v>30</v>
      </c>
      <c r="K444" s="13">
        <f t="shared" si="1"/>
        <v>0</v>
      </c>
      <c r="L444" s="14">
        <f t="shared" si="2"/>
        <v>0</v>
      </c>
    </row>
    <row r="445" spans="1:12" ht="15.75" customHeight="1">
      <c r="A445" s="8">
        <v>444</v>
      </c>
      <c r="B445" s="8" t="s">
        <v>234</v>
      </c>
      <c r="C445" s="1" t="s">
        <v>545</v>
      </c>
      <c r="D445" s="1" t="s">
        <v>557</v>
      </c>
      <c r="E445" s="1" t="s">
        <v>568</v>
      </c>
      <c r="F445" s="1" t="s">
        <v>213</v>
      </c>
      <c r="G445" s="8" t="s">
        <v>0</v>
      </c>
      <c r="H445" s="1">
        <v>30</v>
      </c>
      <c r="I445" s="10">
        <f>detail_avancement!B445</f>
        <v>0</v>
      </c>
      <c r="J445" s="10">
        <f t="shared" si="0"/>
        <v>30</v>
      </c>
      <c r="K445" s="13">
        <f t="shared" si="1"/>
        <v>0</v>
      </c>
      <c r="L445" s="14">
        <f t="shared" si="2"/>
        <v>0</v>
      </c>
    </row>
    <row r="446" spans="1:12" ht="15.75" customHeight="1">
      <c r="A446" s="8">
        <v>445</v>
      </c>
      <c r="B446" s="8" t="s">
        <v>234</v>
      </c>
      <c r="C446" s="1" t="s">
        <v>545</v>
      </c>
      <c r="D446" s="1" t="s">
        <v>569</v>
      </c>
      <c r="E446" s="1" t="s">
        <v>570</v>
      </c>
      <c r="F446" s="1" t="s">
        <v>213</v>
      </c>
      <c r="G446" s="8" t="s">
        <v>0</v>
      </c>
      <c r="H446" s="1">
        <v>30</v>
      </c>
      <c r="I446" s="10">
        <f>detail_avancement!B446</f>
        <v>0</v>
      </c>
      <c r="J446" s="10">
        <f t="shared" si="0"/>
        <v>30</v>
      </c>
      <c r="K446" s="13">
        <f t="shared" si="1"/>
        <v>0</v>
      </c>
      <c r="L446" s="14">
        <f t="shared" si="2"/>
        <v>0</v>
      </c>
    </row>
    <row r="447" spans="1:12" ht="15.75" customHeight="1">
      <c r="A447" s="8">
        <v>446</v>
      </c>
      <c r="B447" s="8" t="s">
        <v>234</v>
      </c>
      <c r="C447" s="1" t="s">
        <v>545</v>
      </c>
      <c r="D447" s="1" t="s">
        <v>569</v>
      </c>
      <c r="E447" s="1" t="s">
        <v>571</v>
      </c>
      <c r="F447" s="1" t="s">
        <v>213</v>
      </c>
      <c r="G447" s="8" t="s">
        <v>0</v>
      </c>
      <c r="H447" s="1">
        <v>30</v>
      </c>
      <c r="I447" s="10">
        <f>detail_avancement!B447</f>
        <v>0</v>
      </c>
      <c r="J447" s="10">
        <f t="shared" si="0"/>
        <v>30</v>
      </c>
      <c r="K447" s="13">
        <f t="shared" si="1"/>
        <v>0</v>
      </c>
      <c r="L447" s="14">
        <f t="shared" si="2"/>
        <v>0</v>
      </c>
    </row>
    <row r="448" spans="1:12" ht="15.75" customHeight="1">
      <c r="A448" s="8">
        <v>447</v>
      </c>
      <c r="B448" s="8" t="s">
        <v>234</v>
      </c>
      <c r="C448" s="1" t="s">
        <v>545</v>
      </c>
      <c r="D448" s="1" t="s">
        <v>569</v>
      </c>
      <c r="E448" s="1" t="s">
        <v>572</v>
      </c>
      <c r="F448" s="1" t="s">
        <v>213</v>
      </c>
      <c r="G448" s="8" t="s">
        <v>0</v>
      </c>
      <c r="H448" s="1">
        <v>30</v>
      </c>
      <c r="I448" s="10">
        <f>detail_avancement!B448</f>
        <v>0</v>
      </c>
      <c r="J448" s="10">
        <f t="shared" si="0"/>
        <v>30</v>
      </c>
      <c r="K448" s="13">
        <f t="shared" si="1"/>
        <v>0</v>
      </c>
      <c r="L448" s="14">
        <f t="shared" si="2"/>
        <v>0</v>
      </c>
    </row>
    <row r="449" spans="1:12" ht="15.75" customHeight="1">
      <c r="A449" s="8">
        <v>448</v>
      </c>
      <c r="B449" s="8" t="s">
        <v>234</v>
      </c>
      <c r="C449" s="1" t="s">
        <v>545</v>
      </c>
      <c r="D449" s="1" t="s">
        <v>573</v>
      </c>
      <c r="E449" s="1" t="s">
        <v>574</v>
      </c>
      <c r="F449" s="1" t="s">
        <v>227</v>
      </c>
      <c r="G449" s="8" t="s">
        <v>0</v>
      </c>
      <c r="H449" s="1">
        <v>30</v>
      </c>
      <c r="I449" s="10">
        <f>detail_avancement!B449</f>
        <v>0</v>
      </c>
      <c r="J449" s="10">
        <f t="shared" si="0"/>
        <v>30</v>
      </c>
      <c r="K449" s="13">
        <f t="shared" si="1"/>
        <v>0</v>
      </c>
      <c r="L449" s="14">
        <f t="shared" si="2"/>
        <v>0</v>
      </c>
    </row>
    <row r="450" spans="1:12" ht="15.75" customHeight="1">
      <c r="A450" s="8">
        <v>449</v>
      </c>
      <c r="B450" s="8" t="s">
        <v>234</v>
      </c>
      <c r="C450" s="1" t="s">
        <v>545</v>
      </c>
      <c r="D450" s="1" t="s">
        <v>573</v>
      </c>
      <c r="E450" s="1" t="s">
        <v>575</v>
      </c>
      <c r="F450" s="1" t="s">
        <v>227</v>
      </c>
      <c r="G450" s="8" t="s">
        <v>0</v>
      </c>
      <c r="H450" s="1">
        <v>30</v>
      </c>
      <c r="I450" s="10">
        <f>detail_avancement!B450</f>
        <v>0</v>
      </c>
      <c r="J450" s="10">
        <f t="shared" si="0"/>
        <v>30</v>
      </c>
      <c r="K450" s="13">
        <f t="shared" si="1"/>
        <v>0</v>
      </c>
      <c r="L450" s="14">
        <f t="shared" si="2"/>
        <v>0</v>
      </c>
    </row>
    <row r="451" spans="1:12" ht="15.75" customHeight="1">
      <c r="A451" s="8">
        <v>450</v>
      </c>
      <c r="B451" s="8" t="s">
        <v>234</v>
      </c>
      <c r="C451" s="1" t="s">
        <v>545</v>
      </c>
      <c r="D451" s="1" t="s">
        <v>573</v>
      </c>
      <c r="E451" s="1" t="s">
        <v>576</v>
      </c>
      <c r="F451" s="1" t="s">
        <v>227</v>
      </c>
      <c r="G451" s="8" t="s">
        <v>0</v>
      </c>
      <c r="H451" s="1">
        <v>30</v>
      </c>
      <c r="I451" s="10">
        <f>detail_avancement!B451</f>
        <v>0</v>
      </c>
      <c r="J451" s="10">
        <f t="shared" si="0"/>
        <v>30</v>
      </c>
      <c r="K451" s="13">
        <f t="shared" si="1"/>
        <v>0</v>
      </c>
      <c r="L451" s="14">
        <f t="shared" si="2"/>
        <v>0</v>
      </c>
    </row>
    <row r="452" spans="1:12" ht="15.75" customHeight="1">
      <c r="A452" s="8">
        <v>451</v>
      </c>
      <c r="B452" s="8" t="s">
        <v>234</v>
      </c>
      <c r="C452" s="1" t="s">
        <v>545</v>
      </c>
      <c r="D452" s="1" t="s">
        <v>577</v>
      </c>
      <c r="E452" s="1" t="s">
        <v>578</v>
      </c>
      <c r="F452" s="1" t="s">
        <v>227</v>
      </c>
      <c r="G452" s="8" t="s">
        <v>0</v>
      </c>
      <c r="H452" s="1">
        <v>30</v>
      </c>
      <c r="I452" s="10">
        <f>detail_avancement!B452</f>
        <v>0</v>
      </c>
      <c r="J452" s="10">
        <f t="shared" si="0"/>
        <v>30</v>
      </c>
      <c r="K452" s="13">
        <f t="shared" si="1"/>
        <v>0</v>
      </c>
      <c r="L452" s="14">
        <f t="shared" si="2"/>
        <v>0</v>
      </c>
    </row>
    <row r="453" spans="1:12" ht="15.75" customHeight="1">
      <c r="A453" s="8">
        <v>452</v>
      </c>
      <c r="B453" s="8" t="s">
        <v>234</v>
      </c>
      <c r="C453" s="1" t="s">
        <v>545</v>
      </c>
      <c r="D453" s="1" t="s">
        <v>577</v>
      </c>
      <c r="E453" s="1" t="s">
        <v>579</v>
      </c>
      <c r="F453" s="1" t="s">
        <v>227</v>
      </c>
      <c r="G453" s="8" t="s">
        <v>0</v>
      </c>
      <c r="H453" s="1">
        <v>30</v>
      </c>
      <c r="I453" s="10">
        <f>detail_avancement!B453</f>
        <v>0</v>
      </c>
      <c r="J453" s="10">
        <f t="shared" si="0"/>
        <v>30</v>
      </c>
      <c r="K453" s="13">
        <f t="shared" si="1"/>
        <v>0</v>
      </c>
      <c r="L453" s="14">
        <f t="shared" si="2"/>
        <v>0</v>
      </c>
    </row>
    <row r="454" spans="1:12" ht="15.75" customHeight="1">
      <c r="A454" s="8">
        <v>453</v>
      </c>
      <c r="B454" s="8" t="s">
        <v>234</v>
      </c>
      <c r="C454" s="1" t="s">
        <v>545</v>
      </c>
      <c r="D454" s="1" t="s">
        <v>577</v>
      </c>
      <c r="E454" s="1" t="s">
        <v>580</v>
      </c>
      <c r="F454" s="1" t="s">
        <v>227</v>
      </c>
      <c r="G454" s="8" t="s">
        <v>0</v>
      </c>
      <c r="H454" s="1">
        <v>30</v>
      </c>
      <c r="I454" s="10">
        <f>detail_avancement!B454</f>
        <v>0</v>
      </c>
      <c r="J454" s="10">
        <f t="shared" si="0"/>
        <v>30</v>
      </c>
      <c r="K454" s="13">
        <f t="shared" si="1"/>
        <v>0</v>
      </c>
      <c r="L454" s="14">
        <f t="shared" si="2"/>
        <v>0</v>
      </c>
    </row>
    <row r="455" spans="1:12" ht="15.75" customHeight="1">
      <c r="A455" s="8">
        <v>454</v>
      </c>
      <c r="B455" s="8" t="s">
        <v>234</v>
      </c>
      <c r="C455" s="1" t="s">
        <v>545</v>
      </c>
      <c r="D455" s="1" t="s">
        <v>577</v>
      </c>
      <c r="E455" s="1" t="s">
        <v>581</v>
      </c>
      <c r="F455" s="1" t="s">
        <v>227</v>
      </c>
      <c r="G455" s="8" t="s">
        <v>0</v>
      </c>
      <c r="H455" s="1">
        <v>30</v>
      </c>
      <c r="I455" s="10">
        <f>detail_avancement!B455</f>
        <v>0</v>
      </c>
      <c r="J455" s="10">
        <f t="shared" si="0"/>
        <v>30</v>
      </c>
      <c r="K455" s="13">
        <f t="shared" si="1"/>
        <v>0</v>
      </c>
      <c r="L455" s="14">
        <f t="shared" si="2"/>
        <v>0</v>
      </c>
    </row>
    <row r="456" spans="1:12" ht="15.75" customHeight="1">
      <c r="A456" s="8">
        <v>455</v>
      </c>
      <c r="B456" s="8" t="s">
        <v>234</v>
      </c>
      <c r="C456" s="1" t="s">
        <v>545</v>
      </c>
      <c r="D456" s="1" t="s">
        <v>582</v>
      </c>
      <c r="E456" s="1" t="s">
        <v>583</v>
      </c>
      <c r="F456" s="1" t="s">
        <v>213</v>
      </c>
      <c r="G456" s="8" t="s">
        <v>0</v>
      </c>
      <c r="H456" s="1">
        <v>30</v>
      </c>
      <c r="I456" s="10">
        <f>detail_avancement!B456</f>
        <v>0</v>
      </c>
      <c r="J456" s="10">
        <f t="shared" si="0"/>
        <v>30</v>
      </c>
      <c r="K456" s="13">
        <f t="shared" si="1"/>
        <v>0</v>
      </c>
      <c r="L456" s="14">
        <f t="shared" si="2"/>
        <v>0</v>
      </c>
    </row>
    <row r="457" spans="1:12" ht="15.75" customHeight="1">
      <c r="A457" s="8">
        <v>456</v>
      </c>
      <c r="B457" s="8" t="s">
        <v>234</v>
      </c>
      <c r="C457" s="1" t="s">
        <v>545</v>
      </c>
      <c r="D457" s="1" t="s">
        <v>582</v>
      </c>
      <c r="E457" s="1" t="s">
        <v>584</v>
      </c>
      <c r="F457" s="1" t="s">
        <v>213</v>
      </c>
      <c r="G457" s="8" t="s">
        <v>0</v>
      </c>
      <c r="H457" s="1">
        <v>30</v>
      </c>
      <c r="I457" s="10">
        <f>detail_avancement!B457</f>
        <v>0</v>
      </c>
      <c r="J457" s="10">
        <f t="shared" si="0"/>
        <v>30</v>
      </c>
      <c r="K457" s="13">
        <f t="shared" si="1"/>
        <v>0</v>
      </c>
      <c r="L457" s="14">
        <f t="shared" si="2"/>
        <v>0</v>
      </c>
    </row>
    <row r="458" spans="1:12" ht="15.75" customHeight="1">
      <c r="A458" s="8">
        <v>457</v>
      </c>
      <c r="B458" s="8" t="s">
        <v>234</v>
      </c>
      <c r="C458" s="1" t="s">
        <v>545</v>
      </c>
      <c r="D458" s="1" t="s">
        <v>582</v>
      </c>
      <c r="E458" s="1" t="s">
        <v>585</v>
      </c>
      <c r="F458" s="1" t="s">
        <v>213</v>
      </c>
      <c r="G458" s="8" t="s">
        <v>0</v>
      </c>
      <c r="H458" s="1">
        <v>30</v>
      </c>
      <c r="I458" s="10">
        <f>detail_avancement!B458</f>
        <v>0</v>
      </c>
      <c r="J458" s="10">
        <f t="shared" si="0"/>
        <v>30</v>
      </c>
      <c r="K458" s="13">
        <f t="shared" si="1"/>
        <v>0</v>
      </c>
      <c r="L458" s="14">
        <f t="shared" si="2"/>
        <v>0</v>
      </c>
    </row>
    <row r="459" spans="1:12" ht="15.75" customHeight="1">
      <c r="A459" s="8">
        <v>458</v>
      </c>
      <c r="B459" s="8" t="s">
        <v>234</v>
      </c>
      <c r="C459" s="1" t="s">
        <v>545</v>
      </c>
      <c r="D459" s="1" t="s">
        <v>582</v>
      </c>
      <c r="E459" s="1" t="s">
        <v>586</v>
      </c>
      <c r="F459" s="1" t="s">
        <v>213</v>
      </c>
      <c r="G459" s="8" t="s">
        <v>0</v>
      </c>
      <c r="H459" s="1">
        <v>30</v>
      </c>
      <c r="I459" s="10">
        <f>detail_avancement!B459</f>
        <v>0</v>
      </c>
      <c r="J459" s="10">
        <f t="shared" si="0"/>
        <v>30</v>
      </c>
      <c r="K459" s="13">
        <f t="shared" si="1"/>
        <v>0</v>
      </c>
      <c r="L459" s="14">
        <f t="shared" si="2"/>
        <v>0</v>
      </c>
    </row>
    <row r="460" spans="1:12" ht="15.75" customHeight="1">
      <c r="A460" s="8">
        <v>459</v>
      </c>
      <c r="B460" s="8" t="s">
        <v>234</v>
      </c>
      <c r="C460" s="1" t="s">
        <v>545</v>
      </c>
      <c r="D460" s="1" t="s">
        <v>582</v>
      </c>
      <c r="E460" s="1" t="s">
        <v>587</v>
      </c>
      <c r="F460" s="1" t="s">
        <v>213</v>
      </c>
      <c r="G460" s="8" t="s">
        <v>0</v>
      </c>
      <c r="H460" s="1">
        <v>30</v>
      </c>
      <c r="I460" s="10">
        <f>detail_avancement!B460</f>
        <v>0</v>
      </c>
      <c r="J460" s="10">
        <f t="shared" si="0"/>
        <v>30</v>
      </c>
      <c r="K460" s="13">
        <f t="shared" si="1"/>
        <v>0</v>
      </c>
      <c r="L460" s="14">
        <f t="shared" si="2"/>
        <v>0</v>
      </c>
    </row>
    <row r="461" spans="1:12" ht="15.75" customHeight="1">
      <c r="A461" s="8">
        <v>460</v>
      </c>
      <c r="B461" s="8" t="s">
        <v>234</v>
      </c>
      <c r="C461" s="1" t="s">
        <v>545</v>
      </c>
      <c r="D461" s="1" t="s">
        <v>582</v>
      </c>
      <c r="E461" s="1" t="s">
        <v>588</v>
      </c>
      <c r="F461" s="1" t="s">
        <v>213</v>
      </c>
      <c r="G461" s="8" t="s">
        <v>0</v>
      </c>
      <c r="H461" s="1">
        <v>30</v>
      </c>
      <c r="I461" s="10">
        <f>detail_avancement!B461</f>
        <v>0</v>
      </c>
      <c r="J461" s="10">
        <f t="shared" si="0"/>
        <v>30</v>
      </c>
      <c r="K461" s="13">
        <f t="shared" si="1"/>
        <v>0</v>
      </c>
      <c r="L461" s="14">
        <f t="shared" si="2"/>
        <v>0</v>
      </c>
    </row>
    <row r="462" spans="1:12" ht="15.75" customHeight="1">
      <c r="A462" s="8">
        <v>461</v>
      </c>
      <c r="B462" s="8" t="s">
        <v>234</v>
      </c>
      <c r="C462" s="1" t="s">
        <v>545</v>
      </c>
      <c r="D462" s="1" t="s">
        <v>582</v>
      </c>
      <c r="E462" s="1" t="s">
        <v>589</v>
      </c>
      <c r="F462" s="1" t="s">
        <v>213</v>
      </c>
      <c r="G462" s="8" t="s">
        <v>0</v>
      </c>
      <c r="H462" s="1">
        <v>30</v>
      </c>
      <c r="I462" s="10">
        <f>detail_avancement!B462</f>
        <v>0</v>
      </c>
      <c r="J462" s="10">
        <f t="shared" si="0"/>
        <v>30</v>
      </c>
      <c r="K462" s="13">
        <f t="shared" si="1"/>
        <v>0</v>
      </c>
      <c r="L462" s="14">
        <f t="shared" si="2"/>
        <v>0</v>
      </c>
    </row>
    <row r="463" spans="1:12" ht="15.75" customHeight="1">
      <c r="A463" s="8">
        <v>462</v>
      </c>
      <c r="B463" s="8" t="s">
        <v>234</v>
      </c>
      <c r="C463" s="1" t="s">
        <v>545</v>
      </c>
      <c r="D463" s="1" t="s">
        <v>582</v>
      </c>
      <c r="E463" s="1" t="s">
        <v>590</v>
      </c>
      <c r="F463" s="1" t="s">
        <v>213</v>
      </c>
      <c r="G463" s="8" t="s">
        <v>0</v>
      </c>
      <c r="H463" s="1">
        <v>30</v>
      </c>
      <c r="I463" s="10">
        <f>detail_avancement!B463</f>
        <v>0</v>
      </c>
      <c r="J463" s="10">
        <f t="shared" si="0"/>
        <v>30</v>
      </c>
      <c r="K463" s="13">
        <f t="shared" si="1"/>
        <v>0</v>
      </c>
      <c r="L463" s="14">
        <f t="shared" si="2"/>
        <v>0</v>
      </c>
    </row>
    <row r="464" spans="1:12" ht="15.75" customHeight="1">
      <c r="A464" s="8">
        <v>463</v>
      </c>
      <c r="B464" s="8" t="s">
        <v>234</v>
      </c>
      <c r="C464" s="1" t="s">
        <v>545</v>
      </c>
      <c r="D464" s="1" t="s">
        <v>582</v>
      </c>
      <c r="E464" s="1" t="s">
        <v>591</v>
      </c>
      <c r="F464" s="1" t="s">
        <v>213</v>
      </c>
      <c r="G464" s="8" t="s">
        <v>0</v>
      </c>
      <c r="H464" s="1">
        <v>30</v>
      </c>
      <c r="I464" s="10">
        <f>detail_avancement!B464</f>
        <v>0</v>
      </c>
      <c r="J464" s="10">
        <f t="shared" si="0"/>
        <v>30</v>
      </c>
      <c r="K464" s="13">
        <f t="shared" si="1"/>
        <v>0</v>
      </c>
      <c r="L464" s="14">
        <f t="shared" si="2"/>
        <v>0</v>
      </c>
    </row>
    <row r="465" spans="1:12" ht="15.75" customHeight="1">
      <c r="A465" s="8">
        <v>464</v>
      </c>
      <c r="B465" s="8" t="s">
        <v>234</v>
      </c>
      <c r="C465" s="1" t="s">
        <v>545</v>
      </c>
      <c r="D465" s="1" t="s">
        <v>582</v>
      </c>
      <c r="E465" s="1" t="s">
        <v>592</v>
      </c>
      <c r="F465" s="1" t="s">
        <v>213</v>
      </c>
      <c r="G465" s="8" t="s">
        <v>0</v>
      </c>
      <c r="H465" s="1">
        <v>30</v>
      </c>
      <c r="I465" s="10">
        <f>detail_avancement!B465</f>
        <v>0</v>
      </c>
      <c r="J465" s="10">
        <f t="shared" si="0"/>
        <v>30</v>
      </c>
      <c r="K465" s="13">
        <f t="shared" si="1"/>
        <v>0</v>
      </c>
      <c r="L465" s="14">
        <f t="shared" si="2"/>
        <v>0</v>
      </c>
    </row>
    <row r="466" spans="1:12" ht="15.75" customHeight="1">
      <c r="A466" s="8">
        <v>465</v>
      </c>
      <c r="B466" s="8" t="s">
        <v>234</v>
      </c>
      <c r="C466" s="1" t="s">
        <v>545</v>
      </c>
      <c r="D466" s="1" t="s">
        <v>593</v>
      </c>
      <c r="E466" s="1" t="s">
        <v>594</v>
      </c>
      <c r="F466" s="1" t="s">
        <v>106</v>
      </c>
      <c r="G466" s="8" t="s">
        <v>0</v>
      </c>
      <c r="H466" s="1">
        <v>30</v>
      </c>
      <c r="I466" s="10">
        <f>detail_avancement!B466</f>
        <v>0</v>
      </c>
      <c r="J466" s="10">
        <f t="shared" si="0"/>
        <v>30</v>
      </c>
      <c r="K466" s="13">
        <f t="shared" si="1"/>
        <v>0</v>
      </c>
      <c r="L466" s="14">
        <f t="shared" si="2"/>
        <v>0</v>
      </c>
    </row>
    <row r="467" spans="1:12" ht="15.75" customHeight="1">
      <c r="A467" s="8">
        <v>466</v>
      </c>
      <c r="B467" s="8" t="s">
        <v>234</v>
      </c>
      <c r="C467" s="1" t="s">
        <v>545</v>
      </c>
      <c r="D467" s="1" t="s">
        <v>593</v>
      </c>
      <c r="E467" s="1" t="s">
        <v>595</v>
      </c>
      <c r="F467" s="1" t="s">
        <v>106</v>
      </c>
      <c r="G467" s="8" t="s">
        <v>0</v>
      </c>
      <c r="H467" s="1">
        <v>30</v>
      </c>
      <c r="I467" s="10">
        <f>detail_avancement!B467</f>
        <v>0</v>
      </c>
      <c r="J467" s="10">
        <f t="shared" si="0"/>
        <v>30</v>
      </c>
      <c r="K467" s="13">
        <f t="shared" si="1"/>
        <v>0</v>
      </c>
      <c r="L467" s="14">
        <f t="shared" si="2"/>
        <v>0</v>
      </c>
    </row>
    <row r="468" spans="1:12" ht="15.75" customHeight="1">
      <c r="A468" s="8">
        <v>467</v>
      </c>
      <c r="B468" s="8" t="s">
        <v>234</v>
      </c>
      <c r="C468" s="1" t="s">
        <v>545</v>
      </c>
      <c r="D468" s="1" t="s">
        <v>593</v>
      </c>
      <c r="E468" s="1" t="s">
        <v>596</v>
      </c>
      <c r="F468" s="1" t="s">
        <v>106</v>
      </c>
      <c r="G468" s="8" t="s">
        <v>0</v>
      </c>
      <c r="H468" s="1">
        <v>30</v>
      </c>
      <c r="I468" s="10">
        <f>detail_avancement!B468</f>
        <v>0</v>
      </c>
      <c r="J468" s="10">
        <f t="shared" si="0"/>
        <v>30</v>
      </c>
      <c r="K468" s="13">
        <f t="shared" si="1"/>
        <v>0</v>
      </c>
      <c r="L468" s="14">
        <f t="shared" si="2"/>
        <v>0</v>
      </c>
    </row>
    <row r="469" spans="1:12" ht="15.75" customHeight="1">
      <c r="A469" s="8">
        <v>468</v>
      </c>
      <c r="B469" s="8" t="s">
        <v>234</v>
      </c>
      <c r="C469" s="1" t="s">
        <v>545</v>
      </c>
      <c r="D469" s="1" t="s">
        <v>593</v>
      </c>
      <c r="E469" s="1" t="s">
        <v>597</v>
      </c>
      <c r="F469" s="1" t="s">
        <v>106</v>
      </c>
      <c r="G469" s="8" t="s">
        <v>0</v>
      </c>
      <c r="H469" s="1">
        <v>30</v>
      </c>
      <c r="I469" s="10">
        <f>detail_avancement!B469</f>
        <v>0</v>
      </c>
      <c r="J469" s="10">
        <f t="shared" si="0"/>
        <v>30</v>
      </c>
      <c r="K469" s="13">
        <f t="shared" si="1"/>
        <v>0</v>
      </c>
      <c r="L469" s="14">
        <f t="shared" si="2"/>
        <v>0</v>
      </c>
    </row>
    <row r="470" spans="1:12" ht="15.75" customHeight="1">
      <c r="A470" s="8">
        <v>469</v>
      </c>
      <c r="B470" s="8" t="s">
        <v>234</v>
      </c>
      <c r="C470" s="1" t="s">
        <v>545</v>
      </c>
      <c r="D470" s="1" t="s">
        <v>593</v>
      </c>
      <c r="E470" s="1" t="s">
        <v>598</v>
      </c>
      <c r="F470" s="1" t="s">
        <v>106</v>
      </c>
      <c r="G470" s="8" t="s">
        <v>0</v>
      </c>
      <c r="H470" s="1">
        <v>30</v>
      </c>
      <c r="I470" s="10">
        <f>detail_avancement!B470</f>
        <v>0</v>
      </c>
      <c r="J470" s="10">
        <f t="shared" si="0"/>
        <v>30</v>
      </c>
      <c r="K470" s="13">
        <f t="shared" si="1"/>
        <v>0</v>
      </c>
      <c r="L470" s="14">
        <f t="shared" si="2"/>
        <v>0</v>
      </c>
    </row>
    <row r="471" spans="1:12" ht="15.75" customHeight="1">
      <c r="A471" s="8">
        <v>470</v>
      </c>
      <c r="B471" s="8" t="s">
        <v>234</v>
      </c>
      <c r="C471" s="1" t="s">
        <v>545</v>
      </c>
      <c r="D471" s="1" t="s">
        <v>593</v>
      </c>
      <c r="E471" s="1" t="s">
        <v>451</v>
      </c>
      <c r="F471" s="1" t="s">
        <v>106</v>
      </c>
      <c r="G471" s="8" t="s">
        <v>0</v>
      </c>
      <c r="H471" s="1">
        <v>30</v>
      </c>
      <c r="I471" s="10">
        <f>detail_avancement!B471</f>
        <v>0</v>
      </c>
      <c r="J471" s="10">
        <f t="shared" si="0"/>
        <v>30</v>
      </c>
      <c r="K471" s="13">
        <f t="shared" si="1"/>
        <v>0</v>
      </c>
      <c r="L471" s="14">
        <f t="shared" si="2"/>
        <v>0</v>
      </c>
    </row>
    <row r="472" spans="1:12" ht="15.75" customHeight="1">
      <c r="A472" s="8">
        <v>471</v>
      </c>
      <c r="B472" s="8" t="s">
        <v>234</v>
      </c>
      <c r="C472" s="1" t="s">
        <v>545</v>
      </c>
      <c r="D472" s="1" t="s">
        <v>593</v>
      </c>
      <c r="E472" s="1" t="s">
        <v>599</v>
      </c>
      <c r="F472" s="1" t="s">
        <v>213</v>
      </c>
      <c r="G472" s="8" t="s">
        <v>0</v>
      </c>
      <c r="H472" s="1">
        <v>30</v>
      </c>
      <c r="I472" s="10">
        <f>detail_avancement!B472</f>
        <v>0</v>
      </c>
      <c r="J472" s="10">
        <f t="shared" si="0"/>
        <v>30</v>
      </c>
      <c r="K472" s="13">
        <f t="shared" si="1"/>
        <v>0</v>
      </c>
      <c r="L472" s="14">
        <f t="shared" si="2"/>
        <v>0</v>
      </c>
    </row>
    <row r="473" spans="1:12" ht="15.75" customHeight="1">
      <c r="A473" s="8">
        <v>472</v>
      </c>
      <c r="B473" s="8" t="s">
        <v>234</v>
      </c>
      <c r="C473" s="1" t="s">
        <v>545</v>
      </c>
      <c r="D473" s="1" t="s">
        <v>593</v>
      </c>
      <c r="E473" s="1" t="s">
        <v>600</v>
      </c>
      <c r="F473" s="1" t="s">
        <v>213</v>
      </c>
      <c r="G473" s="8" t="s">
        <v>0</v>
      </c>
      <c r="H473" s="1">
        <v>30</v>
      </c>
      <c r="I473" s="10">
        <f>detail_avancement!B473</f>
        <v>0</v>
      </c>
      <c r="J473" s="10">
        <f t="shared" si="0"/>
        <v>30</v>
      </c>
      <c r="K473" s="13">
        <f t="shared" si="1"/>
        <v>0</v>
      </c>
      <c r="L473" s="14">
        <f t="shared" si="2"/>
        <v>0</v>
      </c>
    </row>
    <row r="474" spans="1:12" ht="15.75" customHeight="1">
      <c r="A474" s="8">
        <v>473</v>
      </c>
      <c r="B474" s="8" t="s">
        <v>234</v>
      </c>
      <c r="C474" s="1" t="s">
        <v>545</v>
      </c>
      <c r="D474" s="1" t="s">
        <v>593</v>
      </c>
      <c r="E474" s="1" t="s">
        <v>601</v>
      </c>
      <c r="F474" s="1" t="s">
        <v>227</v>
      </c>
      <c r="G474" s="8" t="s">
        <v>0</v>
      </c>
      <c r="H474" s="1">
        <v>30</v>
      </c>
      <c r="I474" s="10">
        <f>detail_avancement!B474</f>
        <v>0</v>
      </c>
      <c r="J474" s="10">
        <f t="shared" si="0"/>
        <v>30</v>
      </c>
      <c r="K474" s="13">
        <f t="shared" si="1"/>
        <v>0</v>
      </c>
      <c r="L474" s="14">
        <f t="shared" si="2"/>
        <v>0</v>
      </c>
    </row>
    <row r="475" spans="1:12" ht="15.75" customHeight="1">
      <c r="A475" s="8">
        <v>474</v>
      </c>
      <c r="B475" s="8" t="s">
        <v>234</v>
      </c>
      <c r="C475" s="1" t="s">
        <v>545</v>
      </c>
      <c r="D475" s="1" t="s">
        <v>593</v>
      </c>
      <c r="E475" s="1" t="s">
        <v>602</v>
      </c>
      <c r="F475" s="1" t="s">
        <v>106</v>
      </c>
      <c r="G475" s="8" t="s">
        <v>0</v>
      </c>
      <c r="H475" s="1">
        <v>30</v>
      </c>
      <c r="I475" s="10">
        <f>detail_avancement!B475</f>
        <v>0</v>
      </c>
      <c r="J475" s="10">
        <f t="shared" si="0"/>
        <v>30</v>
      </c>
      <c r="K475" s="13">
        <f t="shared" si="1"/>
        <v>0</v>
      </c>
      <c r="L475" s="14">
        <f t="shared" si="2"/>
        <v>0</v>
      </c>
    </row>
    <row r="476" spans="1:12" ht="15.75" customHeight="1">
      <c r="A476" s="8">
        <v>475</v>
      </c>
      <c r="B476" s="8" t="s">
        <v>234</v>
      </c>
      <c r="C476" s="1" t="s">
        <v>603</v>
      </c>
      <c r="D476" s="1" t="s">
        <v>604</v>
      </c>
      <c r="E476" s="1" t="s">
        <v>605</v>
      </c>
      <c r="F476" s="1" t="s">
        <v>213</v>
      </c>
      <c r="G476" s="8" t="s">
        <v>0</v>
      </c>
      <c r="H476" s="1">
        <v>30</v>
      </c>
      <c r="I476" s="10">
        <f>detail_avancement!B476</f>
        <v>0</v>
      </c>
      <c r="J476" s="10">
        <f t="shared" si="0"/>
        <v>30</v>
      </c>
      <c r="K476" s="13">
        <f t="shared" si="1"/>
        <v>0</v>
      </c>
      <c r="L476" s="14">
        <f t="shared" si="2"/>
        <v>0</v>
      </c>
    </row>
    <row r="477" spans="1:12" ht="15.75" customHeight="1">
      <c r="A477" s="8">
        <v>476</v>
      </c>
      <c r="B477" s="8" t="s">
        <v>234</v>
      </c>
      <c r="C477" s="1" t="s">
        <v>603</v>
      </c>
      <c r="D477" s="1" t="s">
        <v>604</v>
      </c>
      <c r="E477" s="1" t="s">
        <v>606</v>
      </c>
      <c r="F477" s="1" t="s">
        <v>213</v>
      </c>
      <c r="G477" s="8" t="s">
        <v>0</v>
      </c>
      <c r="H477" s="1">
        <v>30</v>
      </c>
      <c r="I477" s="10">
        <f>detail_avancement!B477</f>
        <v>0</v>
      </c>
      <c r="J477" s="10">
        <f t="shared" si="0"/>
        <v>30</v>
      </c>
      <c r="K477" s="13">
        <f t="shared" si="1"/>
        <v>0</v>
      </c>
      <c r="L477" s="14">
        <f t="shared" si="2"/>
        <v>0</v>
      </c>
    </row>
    <row r="478" spans="1:12" ht="15.75" customHeight="1">
      <c r="A478" s="8">
        <v>477</v>
      </c>
      <c r="B478" s="8" t="s">
        <v>234</v>
      </c>
      <c r="C478" s="1" t="s">
        <v>603</v>
      </c>
      <c r="D478" s="1" t="s">
        <v>604</v>
      </c>
      <c r="E478" s="1" t="s">
        <v>607</v>
      </c>
      <c r="F478" s="1" t="s">
        <v>213</v>
      </c>
      <c r="G478" s="8" t="s">
        <v>0</v>
      </c>
      <c r="H478" s="1">
        <v>30</v>
      </c>
      <c r="I478" s="10">
        <f>detail_avancement!B478</f>
        <v>0</v>
      </c>
      <c r="J478" s="10">
        <f t="shared" si="0"/>
        <v>30</v>
      </c>
      <c r="K478" s="13">
        <f t="shared" si="1"/>
        <v>0</v>
      </c>
      <c r="L478" s="14">
        <f t="shared" si="2"/>
        <v>0</v>
      </c>
    </row>
    <row r="479" spans="1:12" ht="15.75" customHeight="1">
      <c r="A479" s="8">
        <v>478</v>
      </c>
      <c r="B479" s="8" t="s">
        <v>234</v>
      </c>
      <c r="C479" s="1" t="s">
        <v>603</v>
      </c>
      <c r="D479" s="1" t="s">
        <v>604</v>
      </c>
      <c r="E479" s="1" t="s">
        <v>608</v>
      </c>
      <c r="F479" s="1" t="s">
        <v>213</v>
      </c>
      <c r="G479" s="8" t="s">
        <v>0</v>
      </c>
      <c r="H479" s="1">
        <v>30</v>
      </c>
      <c r="I479" s="10">
        <f>detail_avancement!B479</f>
        <v>0</v>
      </c>
      <c r="J479" s="10">
        <f t="shared" si="0"/>
        <v>30</v>
      </c>
      <c r="K479" s="13">
        <f t="shared" si="1"/>
        <v>0</v>
      </c>
      <c r="L479" s="14">
        <f t="shared" si="2"/>
        <v>0</v>
      </c>
    </row>
    <row r="480" spans="1:12" ht="15.75" customHeight="1">
      <c r="A480" s="8">
        <v>479</v>
      </c>
      <c r="B480" s="8" t="s">
        <v>234</v>
      </c>
      <c r="C480" s="1" t="s">
        <v>603</v>
      </c>
      <c r="D480" s="1" t="s">
        <v>604</v>
      </c>
      <c r="E480" s="1" t="s">
        <v>164</v>
      </c>
      <c r="F480" s="1" t="s">
        <v>213</v>
      </c>
      <c r="G480" s="8" t="s">
        <v>0</v>
      </c>
      <c r="H480" s="1">
        <v>30</v>
      </c>
      <c r="I480" s="10">
        <f>detail_avancement!B480</f>
        <v>0</v>
      </c>
      <c r="J480" s="10">
        <f t="shared" si="0"/>
        <v>30</v>
      </c>
      <c r="K480" s="13">
        <f t="shared" si="1"/>
        <v>0</v>
      </c>
      <c r="L480" s="14">
        <f t="shared" si="2"/>
        <v>0</v>
      </c>
    </row>
    <row r="481" spans="1:12" ht="15.75" customHeight="1">
      <c r="A481" s="8">
        <v>480</v>
      </c>
      <c r="B481" s="8" t="s">
        <v>234</v>
      </c>
      <c r="C481" s="1" t="s">
        <v>603</v>
      </c>
      <c r="D481" s="1" t="s">
        <v>604</v>
      </c>
      <c r="E481" s="1" t="s">
        <v>609</v>
      </c>
      <c r="F481" s="1" t="s">
        <v>213</v>
      </c>
      <c r="G481" s="8" t="s">
        <v>0</v>
      </c>
      <c r="H481" s="1">
        <v>30</v>
      </c>
      <c r="I481" s="10">
        <f>detail_avancement!B481</f>
        <v>0</v>
      </c>
      <c r="J481" s="10">
        <f t="shared" si="0"/>
        <v>30</v>
      </c>
      <c r="K481" s="13">
        <f t="shared" si="1"/>
        <v>0</v>
      </c>
      <c r="L481" s="14">
        <f t="shared" si="2"/>
        <v>0</v>
      </c>
    </row>
    <row r="482" spans="1:12" ht="15.75" customHeight="1">
      <c r="A482" s="8">
        <v>481</v>
      </c>
      <c r="B482" s="8" t="s">
        <v>234</v>
      </c>
      <c r="C482" s="1" t="s">
        <v>603</v>
      </c>
      <c r="D482" s="1" t="s">
        <v>604</v>
      </c>
      <c r="E482" s="1" t="s">
        <v>610</v>
      </c>
      <c r="F482" s="1" t="s">
        <v>213</v>
      </c>
      <c r="G482" s="8" t="s">
        <v>0</v>
      </c>
      <c r="H482" s="1">
        <v>30</v>
      </c>
      <c r="I482" s="10">
        <f>detail_avancement!B482</f>
        <v>0</v>
      </c>
      <c r="J482" s="10">
        <f t="shared" si="0"/>
        <v>30</v>
      </c>
      <c r="K482" s="13">
        <f t="shared" si="1"/>
        <v>0</v>
      </c>
      <c r="L482" s="14">
        <f t="shared" si="2"/>
        <v>0</v>
      </c>
    </row>
    <row r="483" spans="1:12" ht="15.75" customHeight="1">
      <c r="A483" s="8">
        <v>482</v>
      </c>
      <c r="B483" s="8" t="s">
        <v>234</v>
      </c>
      <c r="C483" s="1" t="s">
        <v>603</v>
      </c>
      <c r="D483" s="1" t="s">
        <v>604</v>
      </c>
      <c r="E483" s="1" t="s">
        <v>611</v>
      </c>
      <c r="F483" s="1" t="s">
        <v>213</v>
      </c>
      <c r="G483" s="8" t="s">
        <v>0</v>
      </c>
      <c r="H483" s="1">
        <v>30</v>
      </c>
      <c r="I483" s="10">
        <f>detail_avancement!B483</f>
        <v>0</v>
      </c>
      <c r="J483" s="10">
        <f t="shared" si="0"/>
        <v>30</v>
      </c>
      <c r="K483" s="13">
        <f t="shared" si="1"/>
        <v>0</v>
      </c>
      <c r="L483" s="14">
        <f t="shared" si="2"/>
        <v>0</v>
      </c>
    </row>
    <row r="484" spans="1:12" ht="15.75" customHeight="1">
      <c r="A484" s="8">
        <v>483</v>
      </c>
      <c r="B484" s="8" t="s">
        <v>234</v>
      </c>
      <c r="C484" s="1" t="s">
        <v>603</v>
      </c>
      <c r="D484" s="1" t="s">
        <v>604</v>
      </c>
      <c r="E484" s="1" t="s">
        <v>612</v>
      </c>
      <c r="F484" s="1" t="s">
        <v>213</v>
      </c>
      <c r="G484" s="8" t="s">
        <v>0</v>
      </c>
      <c r="H484" s="1">
        <v>30</v>
      </c>
      <c r="I484" s="10">
        <f>detail_avancement!B484</f>
        <v>0</v>
      </c>
      <c r="J484" s="10">
        <f t="shared" si="0"/>
        <v>30</v>
      </c>
      <c r="K484" s="13">
        <f t="shared" si="1"/>
        <v>0</v>
      </c>
      <c r="L484" s="14">
        <f t="shared" si="2"/>
        <v>0</v>
      </c>
    </row>
    <row r="485" spans="1:12" ht="15.75" customHeight="1">
      <c r="A485" s="8">
        <v>484</v>
      </c>
      <c r="B485" s="8" t="s">
        <v>234</v>
      </c>
      <c r="C485" s="1" t="s">
        <v>603</v>
      </c>
      <c r="D485" s="1" t="s">
        <v>604</v>
      </c>
      <c r="E485" s="1" t="s">
        <v>613</v>
      </c>
      <c r="F485" s="1" t="s">
        <v>106</v>
      </c>
      <c r="G485" s="8" t="s">
        <v>0</v>
      </c>
      <c r="H485" s="1">
        <v>30</v>
      </c>
      <c r="I485" s="10">
        <f>detail_avancement!B485</f>
        <v>0</v>
      </c>
      <c r="J485" s="10">
        <f t="shared" si="0"/>
        <v>30</v>
      </c>
      <c r="K485" s="13">
        <f t="shared" si="1"/>
        <v>0</v>
      </c>
      <c r="L485" s="14">
        <f t="shared" si="2"/>
        <v>0</v>
      </c>
    </row>
    <row r="486" spans="1:12" ht="15.75" customHeight="1">
      <c r="A486" s="8">
        <v>485</v>
      </c>
      <c r="B486" s="8" t="s">
        <v>234</v>
      </c>
      <c r="C486" s="1" t="s">
        <v>603</v>
      </c>
      <c r="D486" s="1" t="s">
        <v>614</v>
      </c>
      <c r="E486" s="1" t="s">
        <v>615</v>
      </c>
      <c r="F486" s="1" t="s">
        <v>227</v>
      </c>
      <c r="G486" s="8" t="s">
        <v>0</v>
      </c>
      <c r="H486" s="1">
        <v>30</v>
      </c>
      <c r="I486" s="10">
        <f>detail_avancement!B486</f>
        <v>0</v>
      </c>
      <c r="J486" s="10">
        <f t="shared" si="0"/>
        <v>30</v>
      </c>
      <c r="K486" s="13">
        <f t="shared" si="1"/>
        <v>0</v>
      </c>
      <c r="L486" s="14">
        <f t="shared" si="2"/>
        <v>0</v>
      </c>
    </row>
    <row r="487" spans="1:12" ht="15.75" customHeight="1">
      <c r="A487" s="8">
        <v>486</v>
      </c>
      <c r="B487" s="8" t="s">
        <v>234</v>
      </c>
      <c r="C487" s="1" t="s">
        <v>603</v>
      </c>
      <c r="D487" s="1" t="s">
        <v>614</v>
      </c>
      <c r="E487" s="1" t="s">
        <v>616</v>
      </c>
      <c r="F487" s="1" t="s">
        <v>227</v>
      </c>
      <c r="G487" s="8" t="s">
        <v>0</v>
      </c>
      <c r="H487" s="1">
        <v>30</v>
      </c>
      <c r="I487" s="10">
        <f>detail_avancement!B487</f>
        <v>0</v>
      </c>
      <c r="J487" s="10">
        <f t="shared" si="0"/>
        <v>30</v>
      </c>
      <c r="K487" s="13">
        <f t="shared" si="1"/>
        <v>0</v>
      </c>
      <c r="L487" s="14">
        <f t="shared" si="2"/>
        <v>0</v>
      </c>
    </row>
    <row r="488" spans="1:12" ht="15.75" customHeight="1">
      <c r="A488" s="8">
        <v>487</v>
      </c>
      <c r="B488" s="8" t="s">
        <v>234</v>
      </c>
      <c r="C488" s="1" t="s">
        <v>603</v>
      </c>
      <c r="D488" s="1" t="s">
        <v>614</v>
      </c>
      <c r="E488" s="1" t="s">
        <v>617</v>
      </c>
      <c r="F488" s="1" t="s">
        <v>227</v>
      </c>
      <c r="G488" s="8" t="s">
        <v>0</v>
      </c>
      <c r="H488" s="1">
        <v>30</v>
      </c>
      <c r="I488" s="10">
        <f>detail_avancement!B488</f>
        <v>0</v>
      </c>
      <c r="J488" s="10">
        <f t="shared" si="0"/>
        <v>30</v>
      </c>
      <c r="K488" s="13">
        <f t="shared" si="1"/>
        <v>0</v>
      </c>
      <c r="L488" s="14">
        <f t="shared" si="2"/>
        <v>0</v>
      </c>
    </row>
    <row r="489" spans="1:12" ht="15.75" customHeight="1">
      <c r="A489" s="8">
        <v>488</v>
      </c>
      <c r="B489" s="8" t="s">
        <v>234</v>
      </c>
      <c r="C489" s="1" t="s">
        <v>603</v>
      </c>
      <c r="D489" s="1" t="s">
        <v>618</v>
      </c>
      <c r="E489" s="1" t="s">
        <v>619</v>
      </c>
      <c r="F489" s="1" t="s">
        <v>227</v>
      </c>
      <c r="G489" s="8" t="s">
        <v>0</v>
      </c>
      <c r="H489" s="1">
        <v>30</v>
      </c>
      <c r="I489" s="10">
        <f>detail_avancement!B489</f>
        <v>0</v>
      </c>
      <c r="J489" s="10">
        <f t="shared" si="0"/>
        <v>30</v>
      </c>
      <c r="K489" s="13">
        <f t="shared" si="1"/>
        <v>0</v>
      </c>
      <c r="L489" s="14">
        <f t="shared" si="2"/>
        <v>0</v>
      </c>
    </row>
    <row r="490" spans="1:12" ht="15.75" customHeight="1">
      <c r="A490" s="8">
        <v>489</v>
      </c>
      <c r="B490" s="8" t="s">
        <v>234</v>
      </c>
      <c r="C490" s="1" t="s">
        <v>603</v>
      </c>
      <c r="D490" s="1" t="s">
        <v>618</v>
      </c>
      <c r="E490" s="1" t="s">
        <v>620</v>
      </c>
      <c r="F490" s="1" t="s">
        <v>227</v>
      </c>
      <c r="G490" s="8" t="s">
        <v>0</v>
      </c>
      <c r="H490" s="1">
        <v>30</v>
      </c>
      <c r="I490" s="10">
        <f>detail_avancement!B490</f>
        <v>0</v>
      </c>
      <c r="J490" s="10">
        <f t="shared" si="0"/>
        <v>30</v>
      </c>
      <c r="K490" s="13">
        <f t="shared" si="1"/>
        <v>0</v>
      </c>
      <c r="L490" s="14">
        <f t="shared" si="2"/>
        <v>0</v>
      </c>
    </row>
    <row r="491" spans="1:12" ht="15.75" customHeight="1">
      <c r="A491" s="8">
        <v>490</v>
      </c>
      <c r="B491" s="8" t="s">
        <v>234</v>
      </c>
      <c r="C491" s="1" t="s">
        <v>603</v>
      </c>
      <c r="D491" s="1" t="s">
        <v>618</v>
      </c>
      <c r="E491" s="1" t="s">
        <v>621</v>
      </c>
      <c r="F491" s="1" t="s">
        <v>227</v>
      </c>
      <c r="G491" s="8" t="s">
        <v>0</v>
      </c>
      <c r="H491" s="1">
        <v>30</v>
      </c>
      <c r="I491" s="10">
        <f>detail_avancement!B491</f>
        <v>0</v>
      </c>
      <c r="J491" s="10">
        <f t="shared" si="0"/>
        <v>30</v>
      </c>
      <c r="K491" s="13">
        <f t="shared" si="1"/>
        <v>0</v>
      </c>
      <c r="L491" s="14">
        <f t="shared" si="2"/>
        <v>0</v>
      </c>
    </row>
    <row r="492" spans="1:12" ht="15.75" customHeight="1">
      <c r="A492" s="8">
        <v>491</v>
      </c>
      <c r="B492" s="8" t="s">
        <v>234</v>
      </c>
      <c r="C492" s="1" t="s">
        <v>603</v>
      </c>
      <c r="D492" s="1" t="s">
        <v>618</v>
      </c>
      <c r="E492" s="1" t="s">
        <v>313</v>
      </c>
      <c r="F492" s="1" t="s">
        <v>267</v>
      </c>
      <c r="G492" s="8" t="s">
        <v>0</v>
      </c>
      <c r="H492" s="1">
        <v>30</v>
      </c>
      <c r="I492" s="10">
        <f>detail_avancement!B492</f>
        <v>0</v>
      </c>
      <c r="J492" s="10">
        <f t="shared" si="0"/>
        <v>30</v>
      </c>
      <c r="K492" s="13">
        <f t="shared" si="1"/>
        <v>0</v>
      </c>
      <c r="L492" s="14">
        <f t="shared" si="2"/>
        <v>0</v>
      </c>
    </row>
    <row r="493" spans="1:12" ht="15.75" customHeight="1">
      <c r="A493" s="8">
        <v>492</v>
      </c>
      <c r="B493" s="8" t="s">
        <v>234</v>
      </c>
      <c r="C493" s="1" t="s">
        <v>603</v>
      </c>
      <c r="D493" s="1" t="s">
        <v>618</v>
      </c>
      <c r="E493" s="1" t="s">
        <v>622</v>
      </c>
      <c r="F493" s="1" t="s">
        <v>267</v>
      </c>
      <c r="G493" s="8" t="s">
        <v>0</v>
      </c>
      <c r="H493" s="1">
        <v>30</v>
      </c>
      <c r="I493" s="10">
        <f>detail_avancement!B493</f>
        <v>0</v>
      </c>
      <c r="J493" s="10">
        <f t="shared" si="0"/>
        <v>30</v>
      </c>
      <c r="K493" s="13">
        <f t="shared" si="1"/>
        <v>0</v>
      </c>
      <c r="L493" s="14">
        <f t="shared" si="2"/>
        <v>0</v>
      </c>
    </row>
    <row r="494" spans="1:12" ht="15.75" customHeight="1">
      <c r="A494" s="8">
        <v>493</v>
      </c>
      <c r="B494" s="8" t="s">
        <v>234</v>
      </c>
      <c r="C494" s="1" t="s">
        <v>603</v>
      </c>
      <c r="D494" s="1" t="s">
        <v>623</v>
      </c>
      <c r="E494" s="1" t="s">
        <v>624</v>
      </c>
      <c r="F494" s="1" t="s">
        <v>213</v>
      </c>
      <c r="G494" s="8" t="s">
        <v>0</v>
      </c>
      <c r="H494" s="1">
        <v>30</v>
      </c>
      <c r="I494" s="10">
        <f>detail_avancement!B494</f>
        <v>0</v>
      </c>
      <c r="J494" s="10">
        <f t="shared" si="0"/>
        <v>30</v>
      </c>
      <c r="K494" s="13">
        <f t="shared" si="1"/>
        <v>0</v>
      </c>
      <c r="L494" s="14">
        <f t="shared" si="2"/>
        <v>0</v>
      </c>
    </row>
    <row r="495" spans="1:12" ht="15.75" customHeight="1">
      <c r="A495" s="8">
        <v>494</v>
      </c>
      <c r="B495" s="8" t="s">
        <v>234</v>
      </c>
      <c r="C495" s="1" t="s">
        <v>603</v>
      </c>
      <c r="D495" s="1" t="s">
        <v>623</v>
      </c>
      <c r="E495" s="1" t="s">
        <v>625</v>
      </c>
      <c r="F495" s="1" t="s">
        <v>213</v>
      </c>
      <c r="G495" s="8" t="s">
        <v>0</v>
      </c>
      <c r="H495" s="1">
        <v>30</v>
      </c>
      <c r="I495" s="10">
        <f>detail_avancement!B495</f>
        <v>0</v>
      </c>
      <c r="J495" s="10">
        <f t="shared" si="0"/>
        <v>30</v>
      </c>
      <c r="K495" s="13">
        <f t="shared" si="1"/>
        <v>0</v>
      </c>
      <c r="L495" s="14">
        <f t="shared" si="2"/>
        <v>0</v>
      </c>
    </row>
    <row r="496" spans="1:12" ht="15.75" customHeight="1">
      <c r="A496" s="8">
        <v>495</v>
      </c>
      <c r="B496" s="8" t="s">
        <v>234</v>
      </c>
      <c r="C496" s="1" t="s">
        <v>626</v>
      </c>
      <c r="D496" s="1" t="s">
        <v>627</v>
      </c>
      <c r="E496" s="1" t="s">
        <v>628</v>
      </c>
      <c r="F496" s="1" t="s">
        <v>213</v>
      </c>
      <c r="G496" s="8" t="s">
        <v>0</v>
      </c>
      <c r="H496" s="1">
        <v>30</v>
      </c>
      <c r="I496" s="10">
        <f>detail_avancement!B496</f>
        <v>0</v>
      </c>
      <c r="J496" s="10">
        <f t="shared" si="0"/>
        <v>30</v>
      </c>
      <c r="K496" s="13">
        <f t="shared" si="1"/>
        <v>0</v>
      </c>
      <c r="L496" s="14">
        <f t="shared" si="2"/>
        <v>0</v>
      </c>
    </row>
    <row r="497" spans="1:12" ht="15.75" customHeight="1">
      <c r="A497" s="8">
        <v>496</v>
      </c>
      <c r="B497" s="8" t="s">
        <v>234</v>
      </c>
      <c r="C497" s="1" t="s">
        <v>626</v>
      </c>
      <c r="D497" s="1" t="s">
        <v>627</v>
      </c>
      <c r="E497" s="1" t="s">
        <v>629</v>
      </c>
      <c r="F497" s="1" t="s">
        <v>213</v>
      </c>
      <c r="G497" s="8" t="s">
        <v>0</v>
      </c>
      <c r="H497" s="1">
        <v>30</v>
      </c>
      <c r="I497" s="10">
        <f>detail_avancement!B497</f>
        <v>0</v>
      </c>
      <c r="J497" s="10">
        <f t="shared" si="0"/>
        <v>30</v>
      </c>
      <c r="K497" s="13">
        <f t="shared" si="1"/>
        <v>0</v>
      </c>
      <c r="L497" s="14">
        <f t="shared" si="2"/>
        <v>0</v>
      </c>
    </row>
    <row r="498" spans="1:12" ht="15.75" customHeight="1">
      <c r="A498" s="8">
        <v>497</v>
      </c>
      <c r="B498" s="8" t="s">
        <v>234</v>
      </c>
      <c r="C498" s="1" t="s">
        <v>626</v>
      </c>
      <c r="D498" s="1" t="s">
        <v>627</v>
      </c>
      <c r="E498" s="1" t="s">
        <v>454</v>
      </c>
      <c r="F498" s="1" t="s">
        <v>213</v>
      </c>
      <c r="G498" s="8" t="s">
        <v>0</v>
      </c>
      <c r="H498" s="1">
        <v>30</v>
      </c>
      <c r="I498" s="10">
        <f>detail_avancement!B498</f>
        <v>0</v>
      </c>
      <c r="J498" s="10">
        <f t="shared" si="0"/>
        <v>30</v>
      </c>
      <c r="K498" s="13">
        <f t="shared" si="1"/>
        <v>0</v>
      </c>
      <c r="L498" s="14">
        <f t="shared" si="2"/>
        <v>0</v>
      </c>
    </row>
    <row r="499" spans="1:12" ht="15.75" customHeight="1">
      <c r="A499" s="8">
        <v>498</v>
      </c>
      <c r="B499" s="8" t="s">
        <v>234</v>
      </c>
      <c r="C499" s="1" t="s">
        <v>626</v>
      </c>
      <c r="D499" s="1" t="s">
        <v>627</v>
      </c>
      <c r="E499" s="1" t="s">
        <v>630</v>
      </c>
      <c r="F499" s="1" t="s">
        <v>213</v>
      </c>
      <c r="G499" s="8" t="s">
        <v>0</v>
      </c>
      <c r="H499" s="1">
        <v>30</v>
      </c>
      <c r="I499" s="10">
        <f>detail_avancement!B499</f>
        <v>0</v>
      </c>
      <c r="J499" s="10">
        <f t="shared" si="0"/>
        <v>30</v>
      </c>
      <c r="K499" s="13">
        <f t="shared" si="1"/>
        <v>0</v>
      </c>
      <c r="L499" s="14">
        <f t="shared" si="2"/>
        <v>0</v>
      </c>
    </row>
    <row r="500" spans="1:12" ht="15.75" customHeight="1">
      <c r="A500" s="8">
        <v>499</v>
      </c>
      <c r="B500" s="8" t="s">
        <v>234</v>
      </c>
      <c r="C500" s="1" t="s">
        <v>626</v>
      </c>
      <c r="D500" s="1" t="s">
        <v>627</v>
      </c>
      <c r="E500" s="1" t="s">
        <v>631</v>
      </c>
      <c r="F500" s="1" t="s">
        <v>213</v>
      </c>
      <c r="G500" s="8" t="s">
        <v>0</v>
      </c>
      <c r="H500" s="1">
        <v>30</v>
      </c>
      <c r="I500" s="10">
        <f>detail_avancement!B500</f>
        <v>0</v>
      </c>
      <c r="J500" s="10">
        <f t="shared" si="0"/>
        <v>30</v>
      </c>
      <c r="K500" s="13">
        <f t="shared" si="1"/>
        <v>0</v>
      </c>
      <c r="L500" s="14">
        <f t="shared" si="2"/>
        <v>0</v>
      </c>
    </row>
    <row r="501" spans="1:12" ht="15.75" customHeight="1">
      <c r="A501" s="8">
        <v>500</v>
      </c>
      <c r="B501" s="8" t="s">
        <v>234</v>
      </c>
      <c r="C501" s="1" t="s">
        <v>626</v>
      </c>
      <c r="D501" s="1" t="s">
        <v>627</v>
      </c>
      <c r="E501" s="1" t="s">
        <v>632</v>
      </c>
      <c r="F501" s="1" t="s">
        <v>213</v>
      </c>
      <c r="G501" s="8" t="s">
        <v>0</v>
      </c>
      <c r="H501" s="1">
        <v>30</v>
      </c>
      <c r="I501" s="10">
        <f>detail_avancement!B501</f>
        <v>0</v>
      </c>
      <c r="J501" s="10">
        <f t="shared" si="0"/>
        <v>30</v>
      </c>
      <c r="K501" s="13">
        <f t="shared" si="1"/>
        <v>0</v>
      </c>
      <c r="L501" s="14">
        <f t="shared" si="2"/>
        <v>0</v>
      </c>
    </row>
    <row r="502" spans="1:12" ht="15.75" customHeight="1">
      <c r="A502" s="8">
        <v>501</v>
      </c>
      <c r="B502" s="8" t="s">
        <v>234</v>
      </c>
      <c r="C502" s="1" t="s">
        <v>626</v>
      </c>
      <c r="D502" s="1" t="s">
        <v>627</v>
      </c>
      <c r="E502" s="1" t="s">
        <v>633</v>
      </c>
      <c r="F502" s="1" t="s">
        <v>213</v>
      </c>
      <c r="G502" s="8" t="s">
        <v>0</v>
      </c>
      <c r="H502" s="1">
        <v>30</v>
      </c>
      <c r="I502" s="10">
        <f>detail_avancement!B502</f>
        <v>0</v>
      </c>
      <c r="J502" s="10">
        <f t="shared" si="0"/>
        <v>30</v>
      </c>
      <c r="K502" s="13">
        <f t="shared" si="1"/>
        <v>0</v>
      </c>
      <c r="L502" s="14">
        <f t="shared" si="2"/>
        <v>0</v>
      </c>
    </row>
    <row r="503" spans="1:12" ht="15.75" customHeight="1">
      <c r="A503" s="8">
        <v>502</v>
      </c>
      <c r="B503" s="8" t="s">
        <v>234</v>
      </c>
      <c r="C503" s="1" t="s">
        <v>626</v>
      </c>
      <c r="D503" s="1" t="s">
        <v>627</v>
      </c>
      <c r="E503" s="1" t="s">
        <v>634</v>
      </c>
      <c r="F503" s="1" t="s">
        <v>213</v>
      </c>
      <c r="G503" s="8" t="s">
        <v>0</v>
      </c>
      <c r="H503" s="1">
        <v>30</v>
      </c>
      <c r="I503" s="10">
        <f>detail_avancement!B503</f>
        <v>0</v>
      </c>
      <c r="J503" s="10">
        <f t="shared" si="0"/>
        <v>30</v>
      </c>
      <c r="K503" s="13">
        <f t="shared" si="1"/>
        <v>0</v>
      </c>
      <c r="L503" s="14">
        <f t="shared" si="2"/>
        <v>0</v>
      </c>
    </row>
    <row r="504" spans="1:12" ht="15.75" customHeight="1">
      <c r="A504" s="8">
        <v>503</v>
      </c>
      <c r="B504" s="8" t="s">
        <v>234</v>
      </c>
      <c r="C504" s="1" t="s">
        <v>626</v>
      </c>
      <c r="D504" s="1" t="s">
        <v>627</v>
      </c>
      <c r="E504" s="1" t="s">
        <v>635</v>
      </c>
      <c r="F504" s="1" t="s">
        <v>213</v>
      </c>
      <c r="G504" s="8" t="s">
        <v>0</v>
      </c>
      <c r="H504" s="1">
        <v>30</v>
      </c>
      <c r="I504" s="10">
        <f>detail_avancement!B504</f>
        <v>0</v>
      </c>
      <c r="J504" s="10">
        <f t="shared" si="0"/>
        <v>30</v>
      </c>
      <c r="K504" s="13">
        <f t="shared" si="1"/>
        <v>0</v>
      </c>
      <c r="L504" s="14">
        <f t="shared" si="2"/>
        <v>0</v>
      </c>
    </row>
    <row r="505" spans="1:12" ht="15.75" customHeight="1">
      <c r="A505" s="8">
        <v>504</v>
      </c>
      <c r="B505" s="8" t="s">
        <v>234</v>
      </c>
      <c r="C505" s="1" t="s">
        <v>626</v>
      </c>
      <c r="D505" s="1" t="s">
        <v>627</v>
      </c>
      <c r="E505" s="1" t="s">
        <v>636</v>
      </c>
      <c r="F505" s="1" t="s">
        <v>213</v>
      </c>
      <c r="G505" s="8" t="s">
        <v>0</v>
      </c>
      <c r="H505" s="1">
        <v>30</v>
      </c>
      <c r="I505" s="10">
        <f>detail_avancement!B505</f>
        <v>0</v>
      </c>
      <c r="J505" s="10">
        <f t="shared" si="0"/>
        <v>30</v>
      </c>
      <c r="K505" s="13">
        <f t="shared" si="1"/>
        <v>0</v>
      </c>
      <c r="L505" s="14">
        <f t="shared" si="2"/>
        <v>0</v>
      </c>
    </row>
    <row r="506" spans="1:12" ht="15.75" customHeight="1">
      <c r="A506" s="8">
        <v>505</v>
      </c>
      <c r="B506" s="8" t="s">
        <v>234</v>
      </c>
      <c r="C506" s="1" t="s">
        <v>626</v>
      </c>
      <c r="D506" s="1" t="s">
        <v>637</v>
      </c>
      <c r="E506" s="1" t="s">
        <v>638</v>
      </c>
      <c r="F506" s="1" t="s">
        <v>227</v>
      </c>
      <c r="G506" s="8" t="s">
        <v>0</v>
      </c>
      <c r="H506" s="1">
        <v>30</v>
      </c>
      <c r="I506" s="10">
        <f>detail_avancement!B506</f>
        <v>0</v>
      </c>
      <c r="J506" s="10">
        <f t="shared" si="0"/>
        <v>30</v>
      </c>
      <c r="K506" s="13">
        <f t="shared" si="1"/>
        <v>0</v>
      </c>
      <c r="L506" s="14">
        <f t="shared" si="2"/>
        <v>0</v>
      </c>
    </row>
    <row r="507" spans="1:12" ht="15.75" customHeight="1">
      <c r="A507" s="8">
        <v>506</v>
      </c>
      <c r="B507" s="8" t="s">
        <v>234</v>
      </c>
      <c r="C507" s="1" t="s">
        <v>626</v>
      </c>
      <c r="D507" s="1" t="s">
        <v>637</v>
      </c>
      <c r="E507" s="1" t="s">
        <v>639</v>
      </c>
      <c r="F507" s="1" t="s">
        <v>227</v>
      </c>
      <c r="G507" s="8" t="s">
        <v>0</v>
      </c>
      <c r="H507" s="1">
        <v>30</v>
      </c>
      <c r="I507" s="10">
        <f>detail_avancement!B507</f>
        <v>0</v>
      </c>
      <c r="J507" s="10">
        <f t="shared" si="0"/>
        <v>30</v>
      </c>
      <c r="K507" s="13">
        <f t="shared" si="1"/>
        <v>0</v>
      </c>
      <c r="L507" s="14">
        <f t="shared" si="2"/>
        <v>0</v>
      </c>
    </row>
    <row r="508" spans="1:12" ht="15.75" customHeight="1">
      <c r="A508" s="8">
        <v>507</v>
      </c>
      <c r="B508" s="8" t="s">
        <v>234</v>
      </c>
      <c r="C508" s="1" t="s">
        <v>626</v>
      </c>
      <c r="D508" s="1" t="s">
        <v>637</v>
      </c>
      <c r="E508" s="1" t="s">
        <v>640</v>
      </c>
      <c r="F508" s="1" t="s">
        <v>227</v>
      </c>
      <c r="G508" s="8" t="s">
        <v>0</v>
      </c>
      <c r="H508" s="1">
        <v>30</v>
      </c>
      <c r="I508" s="10">
        <f>detail_avancement!B508</f>
        <v>0</v>
      </c>
      <c r="J508" s="10">
        <f t="shared" si="0"/>
        <v>30</v>
      </c>
      <c r="K508" s="13">
        <f t="shared" si="1"/>
        <v>0</v>
      </c>
      <c r="L508" s="14">
        <f t="shared" si="2"/>
        <v>0</v>
      </c>
    </row>
    <row r="509" spans="1:12" ht="15.75" customHeight="1">
      <c r="A509" s="8">
        <v>508</v>
      </c>
      <c r="B509" s="8" t="s">
        <v>234</v>
      </c>
      <c r="C509" s="1" t="s">
        <v>626</v>
      </c>
      <c r="D509" s="1" t="s">
        <v>637</v>
      </c>
      <c r="E509" s="1" t="s">
        <v>641</v>
      </c>
      <c r="F509" s="1" t="s">
        <v>227</v>
      </c>
      <c r="G509" s="8" t="s">
        <v>0</v>
      </c>
      <c r="H509" s="1">
        <v>30</v>
      </c>
      <c r="I509" s="10">
        <f>detail_avancement!B509</f>
        <v>0</v>
      </c>
      <c r="J509" s="10">
        <f t="shared" si="0"/>
        <v>30</v>
      </c>
      <c r="K509" s="13">
        <f t="shared" si="1"/>
        <v>0</v>
      </c>
      <c r="L509" s="14">
        <f t="shared" si="2"/>
        <v>0</v>
      </c>
    </row>
    <row r="510" spans="1:12" ht="15.75" customHeight="1">
      <c r="A510" s="8">
        <v>509</v>
      </c>
      <c r="B510" s="8" t="s">
        <v>234</v>
      </c>
      <c r="C510" s="1" t="s">
        <v>626</v>
      </c>
      <c r="D510" s="1" t="s">
        <v>637</v>
      </c>
      <c r="E510" s="1" t="s">
        <v>642</v>
      </c>
      <c r="F510" s="1" t="s">
        <v>227</v>
      </c>
      <c r="G510" s="8" t="s">
        <v>0</v>
      </c>
      <c r="H510" s="1">
        <v>30</v>
      </c>
      <c r="I510" s="10">
        <f>detail_avancement!B510</f>
        <v>0</v>
      </c>
      <c r="J510" s="10">
        <f t="shared" si="0"/>
        <v>30</v>
      </c>
      <c r="K510" s="13">
        <f t="shared" si="1"/>
        <v>0</v>
      </c>
      <c r="L510" s="14">
        <f t="shared" si="2"/>
        <v>0</v>
      </c>
    </row>
    <row r="511" spans="1:12" ht="15.75" customHeight="1">
      <c r="A511" s="8">
        <v>510</v>
      </c>
      <c r="B511" s="8" t="s">
        <v>234</v>
      </c>
      <c r="C511" s="1" t="s">
        <v>626</v>
      </c>
      <c r="D511" s="1" t="s">
        <v>643</v>
      </c>
      <c r="E511" s="1" t="s">
        <v>644</v>
      </c>
      <c r="F511" s="1" t="s">
        <v>227</v>
      </c>
      <c r="G511" s="8" t="s">
        <v>0</v>
      </c>
      <c r="H511" s="1">
        <v>30</v>
      </c>
      <c r="I511" s="10">
        <f>detail_avancement!B511</f>
        <v>0</v>
      </c>
      <c r="J511" s="10">
        <f t="shared" si="0"/>
        <v>30</v>
      </c>
      <c r="K511" s="13">
        <f t="shared" si="1"/>
        <v>0</v>
      </c>
      <c r="L511" s="14">
        <f t="shared" si="2"/>
        <v>0</v>
      </c>
    </row>
    <row r="512" spans="1:12" ht="15.75" customHeight="1">
      <c r="A512" s="8">
        <v>511</v>
      </c>
      <c r="B512" s="8" t="s">
        <v>234</v>
      </c>
      <c r="C512" s="1" t="s">
        <v>626</v>
      </c>
      <c r="D512" s="1" t="s">
        <v>643</v>
      </c>
      <c r="E512" s="1" t="s">
        <v>645</v>
      </c>
      <c r="F512" s="1" t="s">
        <v>227</v>
      </c>
      <c r="G512" s="8" t="s">
        <v>0</v>
      </c>
      <c r="H512" s="1">
        <v>30</v>
      </c>
      <c r="I512" s="10">
        <f>detail_avancement!B512</f>
        <v>0</v>
      </c>
      <c r="J512" s="10">
        <f t="shared" si="0"/>
        <v>30</v>
      </c>
      <c r="K512" s="13">
        <f t="shared" si="1"/>
        <v>0</v>
      </c>
      <c r="L512" s="14">
        <f t="shared" si="2"/>
        <v>0</v>
      </c>
    </row>
    <row r="513" spans="1:12" ht="15.75" customHeight="1">
      <c r="A513" s="8">
        <v>512</v>
      </c>
      <c r="B513" s="8" t="s">
        <v>234</v>
      </c>
      <c r="C513" s="1" t="s">
        <v>626</v>
      </c>
      <c r="D513" s="1" t="s">
        <v>643</v>
      </c>
      <c r="E513" s="1" t="s">
        <v>646</v>
      </c>
      <c r="F513" s="1" t="s">
        <v>227</v>
      </c>
      <c r="G513" s="8" t="s">
        <v>0</v>
      </c>
      <c r="H513" s="1">
        <v>30</v>
      </c>
      <c r="I513" s="10">
        <f>detail_avancement!B513</f>
        <v>0</v>
      </c>
      <c r="J513" s="10">
        <f t="shared" si="0"/>
        <v>30</v>
      </c>
      <c r="K513" s="13">
        <f t="shared" si="1"/>
        <v>0</v>
      </c>
      <c r="L513" s="14">
        <f t="shared" si="2"/>
        <v>0</v>
      </c>
    </row>
    <row r="514" spans="1:12" ht="15.75" customHeight="1">
      <c r="A514" s="8">
        <v>513</v>
      </c>
      <c r="B514" s="8" t="s">
        <v>234</v>
      </c>
      <c r="C514" s="1" t="s">
        <v>626</v>
      </c>
      <c r="D514" s="1" t="s">
        <v>643</v>
      </c>
      <c r="E514" s="1" t="s">
        <v>647</v>
      </c>
      <c r="F514" s="1" t="s">
        <v>267</v>
      </c>
      <c r="G514" s="8" t="s">
        <v>0</v>
      </c>
      <c r="H514" s="1">
        <v>30</v>
      </c>
      <c r="I514" s="10">
        <f>detail_avancement!B514</f>
        <v>0</v>
      </c>
      <c r="J514" s="10">
        <f t="shared" si="0"/>
        <v>30</v>
      </c>
      <c r="K514" s="13">
        <f t="shared" si="1"/>
        <v>0</v>
      </c>
      <c r="L514" s="14">
        <f t="shared" si="2"/>
        <v>0</v>
      </c>
    </row>
    <row r="515" spans="1:12" ht="15.75" customHeight="1">
      <c r="A515" s="8">
        <v>514</v>
      </c>
      <c r="B515" s="8" t="s">
        <v>234</v>
      </c>
      <c r="C515" s="1" t="s">
        <v>626</v>
      </c>
      <c r="D515" s="1" t="s">
        <v>643</v>
      </c>
      <c r="E515" s="1" t="s">
        <v>648</v>
      </c>
      <c r="F515" s="1" t="s">
        <v>267</v>
      </c>
      <c r="G515" s="8" t="s">
        <v>0</v>
      </c>
      <c r="H515" s="1">
        <v>30</v>
      </c>
      <c r="I515" s="10">
        <f>detail_avancement!B515</f>
        <v>0</v>
      </c>
      <c r="J515" s="10">
        <f t="shared" si="0"/>
        <v>30</v>
      </c>
      <c r="K515" s="13">
        <f t="shared" si="1"/>
        <v>0</v>
      </c>
      <c r="L515" s="14">
        <f t="shared" si="2"/>
        <v>0</v>
      </c>
    </row>
    <row r="516" spans="1:12" ht="15.75" customHeight="1">
      <c r="A516" s="8">
        <v>515</v>
      </c>
      <c r="B516" s="8" t="s">
        <v>234</v>
      </c>
      <c r="C516" s="1" t="s">
        <v>626</v>
      </c>
      <c r="D516" s="1" t="s">
        <v>649</v>
      </c>
      <c r="E516" s="1" t="s">
        <v>613</v>
      </c>
      <c r="F516" s="1" t="s">
        <v>106</v>
      </c>
      <c r="G516" s="8" t="s">
        <v>0</v>
      </c>
      <c r="H516" s="1">
        <v>30</v>
      </c>
      <c r="I516" s="10">
        <f>detail_avancement!B516</f>
        <v>0</v>
      </c>
      <c r="J516" s="10">
        <f t="shared" si="0"/>
        <v>30</v>
      </c>
      <c r="K516" s="13">
        <f t="shared" si="1"/>
        <v>0</v>
      </c>
      <c r="L516" s="14">
        <f t="shared" si="2"/>
        <v>0</v>
      </c>
    </row>
    <row r="517" spans="1:12" ht="15.75" customHeight="1">
      <c r="A517" s="8">
        <v>516</v>
      </c>
      <c r="B517" s="8" t="s">
        <v>234</v>
      </c>
      <c r="C517" s="1" t="s">
        <v>626</v>
      </c>
      <c r="D517" s="1" t="s">
        <v>649</v>
      </c>
      <c r="E517" s="1" t="s">
        <v>650</v>
      </c>
      <c r="F517" s="1" t="s">
        <v>106</v>
      </c>
      <c r="G517" s="8" t="s">
        <v>0</v>
      </c>
      <c r="H517" s="1">
        <v>30</v>
      </c>
      <c r="I517" s="10">
        <f>detail_avancement!B517</f>
        <v>0</v>
      </c>
      <c r="J517" s="10">
        <f t="shared" si="0"/>
        <v>30</v>
      </c>
      <c r="K517" s="13">
        <f t="shared" si="1"/>
        <v>0</v>
      </c>
      <c r="L517" s="14">
        <f t="shared" si="2"/>
        <v>0</v>
      </c>
    </row>
    <row r="518" spans="1:12" ht="15.75" customHeight="1">
      <c r="A518" s="8">
        <v>517</v>
      </c>
      <c r="B518" s="8" t="s">
        <v>234</v>
      </c>
      <c r="C518" s="1" t="s">
        <v>626</v>
      </c>
      <c r="D518" s="1" t="s">
        <v>649</v>
      </c>
      <c r="E518" s="1" t="s">
        <v>651</v>
      </c>
      <c r="F518" s="1" t="s">
        <v>213</v>
      </c>
      <c r="G518" s="8" t="s">
        <v>0</v>
      </c>
      <c r="H518" s="1">
        <v>30</v>
      </c>
      <c r="I518" s="10">
        <f>detail_avancement!B518</f>
        <v>0</v>
      </c>
      <c r="J518" s="10">
        <f t="shared" si="0"/>
        <v>30</v>
      </c>
      <c r="K518" s="13">
        <f t="shared" si="1"/>
        <v>0</v>
      </c>
      <c r="L518" s="14">
        <f t="shared" si="2"/>
        <v>0</v>
      </c>
    </row>
    <row r="519" spans="1:12" ht="15.75" customHeight="1">
      <c r="A519" s="8">
        <v>518</v>
      </c>
      <c r="B519" s="8" t="s">
        <v>234</v>
      </c>
      <c r="C519" s="1" t="s">
        <v>626</v>
      </c>
      <c r="D519" s="1" t="s">
        <v>649</v>
      </c>
      <c r="E519" s="1" t="s">
        <v>652</v>
      </c>
      <c r="F519" s="1" t="s">
        <v>213</v>
      </c>
      <c r="G519" s="8" t="s">
        <v>0</v>
      </c>
      <c r="H519" s="1">
        <v>30</v>
      </c>
      <c r="I519" s="10">
        <f>detail_avancement!B519</f>
        <v>0</v>
      </c>
      <c r="J519" s="10">
        <f t="shared" si="0"/>
        <v>30</v>
      </c>
      <c r="K519" s="13">
        <f t="shared" si="1"/>
        <v>0</v>
      </c>
      <c r="L519" s="14">
        <f t="shared" si="2"/>
        <v>0</v>
      </c>
    </row>
    <row r="520" spans="1:12" ht="15.75" customHeight="1">
      <c r="A520" s="8">
        <v>519</v>
      </c>
      <c r="B520" s="8" t="s">
        <v>234</v>
      </c>
      <c r="C520" s="1" t="s">
        <v>626</v>
      </c>
      <c r="D520" s="1" t="s">
        <v>649</v>
      </c>
      <c r="E520" s="1" t="s">
        <v>653</v>
      </c>
      <c r="F520" s="1" t="s">
        <v>227</v>
      </c>
      <c r="G520" s="8" t="s">
        <v>0</v>
      </c>
      <c r="H520" s="1">
        <v>30</v>
      </c>
      <c r="I520" s="10">
        <f>detail_avancement!B520</f>
        <v>0</v>
      </c>
      <c r="J520" s="10">
        <f t="shared" si="0"/>
        <v>30</v>
      </c>
      <c r="K520" s="13">
        <f t="shared" si="1"/>
        <v>0</v>
      </c>
      <c r="L520" s="14">
        <f t="shared" si="2"/>
        <v>0</v>
      </c>
    </row>
    <row r="521" spans="1:12" ht="15.75" customHeight="1">
      <c r="A521" s="8">
        <v>520</v>
      </c>
      <c r="B521" s="8" t="s">
        <v>234</v>
      </c>
      <c r="C521" s="1" t="s">
        <v>626</v>
      </c>
      <c r="D521" s="1" t="s">
        <v>649</v>
      </c>
      <c r="E521" s="1" t="s">
        <v>654</v>
      </c>
      <c r="F521" s="1" t="s">
        <v>62</v>
      </c>
      <c r="G521" s="8" t="s">
        <v>0</v>
      </c>
      <c r="H521" s="1">
        <v>30</v>
      </c>
      <c r="I521" s="10">
        <f>detail_avancement!B521</f>
        <v>0</v>
      </c>
      <c r="J521" s="10">
        <f t="shared" si="0"/>
        <v>30</v>
      </c>
      <c r="K521" s="13">
        <f t="shared" si="1"/>
        <v>0</v>
      </c>
      <c r="L521" s="14">
        <f t="shared" si="2"/>
        <v>0</v>
      </c>
    </row>
    <row r="522" spans="1:12" ht="15.75" customHeight="1">
      <c r="A522" s="8">
        <v>521</v>
      </c>
      <c r="B522" s="8" t="s">
        <v>234</v>
      </c>
      <c r="C522" s="1" t="s">
        <v>655</v>
      </c>
      <c r="D522" s="1" t="s">
        <v>656</v>
      </c>
      <c r="E522" s="1" t="s">
        <v>657</v>
      </c>
      <c r="F522" s="1" t="s">
        <v>213</v>
      </c>
      <c r="G522" s="8" t="s">
        <v>0</v>
      </c>
      <c r="H522" s="1">
        <v>30</v>
      </c>
      <c r="I522" s="10">
        <f>detail_avancement!B522</f>
        <v>0</v>
      </c>
      <c r="J522" s="10">
        <f t="shared" si="0"/>
        <v>30</v>
      </c>
      <c r="K522" s="13">
        <f t="shared" si="1"/>
        <v>0</v>
      </c>
      <c r="L522" s="14">
        <f t="shared" si="2"/>
        <v>0</v>
      </c>
    </row>
    <row r="523" spans="1:12" ht="15.75" customHeight="1">
      <c r="A523" s="8">
        <v>522</v>
      </c>
      <c r="B523" s="8" t="s">
        <v>234</v>
      </c>
      <c r="C523" s="1" t="s">
        <v>655</v>
      </c>
      <c r="D523" s="1" t="s">
        <v>656</v>
      </c>
      <c r="E523" s="1" t="s">
        <v>658</v>
      </c>
      <c r="F523" s="1" t="s">
        <v>213</v>
      </c>
      <c r="G523" s="8" t="s">
        <v>0</v>
      </c>
      <c r="H523" s="1">
        <v>30</v>
      </c>
      <c r="I523" s="10">
        <f>detail_avancement!B523</f>
        <v>0</v>
      </c>
      <c r="J523" s="10">
        <f t="shared" si="0"/>
        <v>30</v>
      </c>
      <c r="K523" s="13">
        <f t="shared" si="1"/>
        <v>0</v>
      </c>
      <c r="L523" s="14">
        <f t="shared" si="2"/>
        <v>0</v>
      </c>
    </row>
    <row r="524" spans="1:12" ht="15.75" customHeight="1">
      <c r="A524" s="8">
        <v>523</v>
      </c>
      <c r="B524" s="8" t="s">
        <v>234</v>
      </c>
      <c r="C524" s="1" t="s">
        <v>655</v>
      </c>
      <c r="D524" s="1" t="s">
        <v>656</v>
      </c>
      <c r="E524" s="1" t="s">
        <v>659</v>
      </c>
      <c r="F524" s="1" t="s">
        <v>213</v>
      </c>
      <c r="G524" s="8" t="s">
        <v>0</v>
      </c>
      <c r="H524" s="1">
        <v>30</v>
      </c>
      <c r="I524" s="10">
        <f>detail_avancement!B524</f>
        <v>0</v>
      </c>
      <c r="J524" s="10">
        <f t="shared" si="0"/>
        <v>30</v>
      </c>
      <c r="K524" s="13">
        <f t="shared" si="1"/>
        <v>0</v>
      </c>
      <c r="L524" s="14">
        <f t="shared" si="2"/>
        <v>0</v>
      </c>
    </row>
    <row r="525" spans="1:12" ht="15.75" customHeight="1">
      <c r="A525" s="8">
        <v>524</v>
      </c>
      <c r="B525" s="8" t="s">
        <v>234</v>
      </c>
      <c r="C525" s="1" t="s">
        <v>655</v>
      </c>
      <c r="D525" s="1" t="s">
        <v>656</v>
      </c>
      <c r="E525" s="1" t="s">
        <v>660</v>
      </c>
      <c r="F525" s="1" t="s">
        <v>213</v>
      </c>
      <c r="G525" s="8" t="s">
        <v>0</v>
      </c>
      <c r="H525" s="1">
        <v>30</v>
      </c>
      <c r="I525" s="10">
        <f>detail_avancement!B525</f>
        <v>0</v>
      </c>
      <c r="J525" s="10">
        <f t="shared" si="0"/>
        <v>30</v>
      </c>
      <c r="K525" s="13">
        <f t="shared" si="1"/>
        <v>0</v>
      </c>
      <c r="L525" s="14">
        <f t="shared" si="2"/>
        <v>0</v>
      </c>
    </row>
    <row r="526" spans="1:12" ht="15.75" customHeight="1">
      <c r="A526" s="8">
        <v>525</v>
      </c>
      <c r="B526" s="8" t="s">
        <v>234</v>
      </c>
      <c r="C526" s="1" t="s">
        <v>655</v>
      </c>
      <c r="D526" s="1" t="s">
        <v>656</v>
      </c>
      <c r="E526" s="1" t="s">
        <v>661</v>
      </c>
      <c r="F526" s="1" t="s">
        <v>213</v>
      </c>
      <c r="G526" s="8" t="s">
        <v>0</v>
      </c>
      <c r="H526" s="1">
        <v>30</v>
      </c>
      <c r="I526" s="10">
        <f>detail_avancement!B526</f>
        <v>0</v>
      </c>
      <c r="J526" s="10">
        <f t="shared" si="0"/>
        <v>30</v>
      </c>
      <c r="K526" s="13">
        <f t="shared" si="1"/>
        <v>0</v>
      </c>
      <c r="L526" s="14">
        <f t="shared" si="2"/>
        <v>0</v>
      </c>
    </row>
    <row r="527" spans="1:12" ht="15.75" customHeight="1">
      <c r="A527" s="8">
        <v>526</v>
      </c>
      <c r="B527" s="8" t="s">
        <v>234</v>
      </c>
      <c r="C527" s="1" t="s">
        <v>655</v>
      </c>
      <c r="D527" s="1" t="s">
        <v>662</v>
      </c>
      <c r="E527" s="1" t="s">
        <v>663</v>
      </c>
      <c r="F527" s="1" t="s">
        <v>227</v>
      </c>
      <c r="G527" s="8" t="s">
        <v>0</v>
      </c>
      <c r="H527" s="1">
        <v>30</v>
      </c>
      <c r="I527" s="10">
        <f>detail_avancement!B527</f>
        <v>0</v>
      </c>
      <c r="J527" s="10">
        <f t="shared" si="0"/>
        <v>30</v>
      </c>
      <c r="K527" s="13">
        <f t="shared" si="1"/>
        <v>0</v>
      </c>
      <c r="L527" s="14">
        <f t="shared" si="2"/>
        <v>0</v>
      </c>
    </row>
    <row r="528" spans="1:12" ht="15.75" customHeight="1">
      <c r="A528" s="8">
        <v>527</v>
      </c>
      <c r="B528" s="8" t="s">
        <v>234</v>
      </c>
      <c r="C528" s="1" t="s">
        <v>655</v>
      </c>
      <c r="D528" s="1" t="s">
        <v>662</v>
      </c>
      <c r="E528" s="1" t="s">
        <v>404</v>
      </c>
      <c r="F528" s="1" t="s">
        <v>227</v>
      </c>
      <c r="G528" s="8" t="s">
        <v>0</v>
      </c>
      <c r="H528" s="1">
        <v>30</v>
      </c>
      <c r="I528" s="10">
        <f>detail_avancement!B528</f>
        <v>0</v>
      </c>
      <c r="J528" s="10">
        <f t="shared" si="0"/>
        <v>30</v>
      </c>
      <c r="K528" s="13">
        <f t="shared" si="1"/>
        <v>0</v>
      </c>
      <c r="L528" s="14">
        <f t="shared" si="2"/>
        <v>0</v>
      </c>
    </row>
    <row r="529" spans="1:12" ht="15.75" customHeight="1">
      <c r="A529" s="8">
        <v>528</v>
      </c>
      <c r="B529" s="8" t="s">
        <v>234</v>
      </c>
      <c r="C529" s="1" t="s">
        <v>655</v>
      </c>
      <c r="D529" s="1" t="s">
        <v>662</v>
      </c>
      <c r="E529" s="1" t="s">
        <v>664</v>
      </c>
      <c r="F529" s="1" t="s">
        <v>227</v>
      </c>
      <c r="G529" s="8" t="s">
        <v>0</v>
      </c>
      <c r="H529" s="1">
        <v>30</v>
      </c>
      <c r="I529" s="10">
        <f>detail_avancement!B529</f>
        <v>0</v>
      </c>
      <c r="J529" s="10">
        <f t="shared" si="0"/>
        <v>30</v>
      </c>
      <c r="K529" s="13">
        <f t="shared" si="1"/>
        <v>0</v>
      </c>
      <c r="L529" s="14">
        <f t="shared" si="2"/>
        <v>0</v>
      </c>
    </row>
    <row r="530" spans="1:12" ht="15.75" customHeight="1">
      <c r="A530" s="8">
        <v>529</v>
      </c>
      <c r="B530" s="8" t="s">
        <v>234</v>
      </c>
      <c r="C530" s="1" t="s">
        <v>655</v>
      </c>
      <c r="D530" s="1" t="s">
        <v>662</v>
      </c>
      <c r="E530" s="1" t="s">
        <v>665</v>
      </c>
      <c r="F530" s="1" t="s">
        <v>227</v>
      </c>
      <c r="G530" s="8" t="s">
        <v>0</v>
      </c>
      <c r="H530" s="1">
        <v>30</v>
      </c>
      <c r="I530" s="10">
        <f>detail_avancement!B530</f>
        <v>0</v>
      </c>
      <c r="J530" s="10">
        <f t="shared" si="0"/>
        <v>30</v>
      </c>
      <c r="K530" s="13">
        <f t="shared" si="1"/>
        <v>0</v>
      </c>
      <c r="L530" s="14">
        <f t="shared" si="2"/>
        <v>0</v>
      </c>
    </row>
    <row r="531" spans="1:12" ht="15.75" customHeight="1">
      <c r="A531" s="8">
        <v>530</v>
      </c>
      <c r="B531" s="8" t="s">
        <v>234</v>
      </c>
      <c r="C531" s="1" t="s">
        <v>655</v>
      </c>
      <c r="D531" s="1" t="s">
        <v>662</v>
      </c>
      <c r="E531" s="1" t="s">
        <v>666</v>
      </c>
      <c r="F531" s="1" t="s">
        <v>267</v>
      </c>
      <c r="G531" s="8" t="s">
        <v>0</v>
      </c>
      <c r="H531" s="1">
        <v>30</v>
      </c>
      <c r="I531" s="10">
        <f>detail_avancement!B531</f>
        <v>0</v>
      </c>
      <c r="J531" s="10">
        <f t="shared" si="0"/>
        <v>30</v>
      </c>
      <c r="K531" s="13">
        <f t="shared" si="1"/>
        <v>0</v>
      </c>
      <c r="L531" s="14">
        <f t="shared" si="2"/>
        <v>0</v>
      </c>
    </row>
    <row r="532" spans="1:12" ht="15.75" customHeight="1">
      <c r="A532" s="8">
        <v>531</v>
      </c>
      <c r="B532" s="8" t="s">
        <v>234</v>
      </c>
      <c r="C532" s="1" t="s">
        <v>667</v>
      </c>
      <c r="D532" s="1" t="s">
        <v>668</v>
      </c>
      <c r="E532" s="1" t="s">
        <v>669</v>
      </c>
      <c r="F532" s="1" t="s">
        <v>213</v>
      </c>
      <c r="G532" s="8" t="s">
        <v>0</v>
      </c>
      <c r="H532" s="1">
        <v>30</v>
      </c>
      <c r="I532" s="10">
        <f>detail_avancement!B532</f>
        <v>0</v>
      </c>
      <c r="J532" s="10">
        <f t="shared" si="0"/>
        <v>30</v>
      </c>
      <c r="K532" s="13">
        <f t="shared" si="1"/>
        <v>0</v>
      </c>
      <c r="L532" s="14">
        <f t="shared" si="2"/>
        <v>0</v>
      </c>
    </row>
    <row r="533" spans="1:12" ht="15.75" customHeight="1">
      <c r="A533" s="8">
        <v>532</v>
      </c>
      <c r="B533" s="8" t="s">
        <v>234</v>
      </c>
      <c r="C533" s="1" t="s">
        <v>667</v>
      </c>
      <c r="D533" s="1" t="s">
        <v>668</v>
      </c>
      <c r="E533" s="1" t="s">
        <v>670</v>
      </c>
      <c r="F533" s="1" t="s">
        <v>213</v>
      </c>
      <c r="G533" s="8" t="s">
        <v>0</v>
      </c>
      <c r="H533" s="1">
        <v>30</v>
      </c>
      <c r="I533" s="10">
        <f>detail_avancement!B533</f>
        <v>0</v>
      </c>
      <c r="J533" s="10">
        <f t="shared" si="0"/>
        <v>30</v>
      </c>
      <c r="K533" s="13">
        <f t="shared" si="1"/>
        <v>0</v>
      </c>
      <c r="L533" s="14">
        <f t="shared" si="2"/>
        <v>0</v>
      </c>
    </row>
    <row r="534" spans="1:12" ht="15.75" customHeight="1">
      <c r="A534" s="8">
        <v>533</v>
      </c>
      <c r="B534" s="8" t="s">
        <v>234</v>
      </c>
      <c r="C534" s="1" t="s">
        <v>667</v>
      </c>
      <c r="D534" s="1" t="s">
        <v>668</v>
      </c>
      <c r="E534" s="1" t="s">
        <v>671</v>
      </c>
      <c r="F534" s="1" t="s">
        <v>213</v>
      </c>
      <c r="G534" s="8" t="s">
        <v>0</v>
      </c>
      <c r="H534" s="1">
        <v>30</v>
      </c>
      <c r="I534" s="10">
        <f>detail_avancement!B534</f>
        <v>0</v>
      </c>
      <c r="J534" s="10">
        <f t="shared" si="0"/>
        <v>30</v>
      </c>
      <c r="K534" s="13">
        <f t="shared" si="1"/>
        <v>0</v>
      </c>
      <c r="L534" s="14">
        <f t="shared" si="2"/>
        <v>0</v>
      </c>
    </row>
    <row r="535" spans="1:12" ht="15.75" customHeight="1">
      <c r="A535" s="8">
        <v>534</v>
      </c>
      <c r="B535" s="8" t="s">
        <v>234</v>
      </c>
      <c r="C535" s="1" t="s">
        <v>667</v>
      </c>
      <c r="D535" s="1" t="s">
        <v>668</v>
      </c>
      <c r="E535" s="1" t="s">
        <v>672</v>
      </c>
      <c r="F535" s="1" t="s">
        <v>213</v>
      </c>
      <c r="G535" s="8" t="s">
        <v>0</v>
      </c>
      <c r="H535" s="1">
        <v>30</v>
      </c>
      <c r="I535" s="10">
        <f>detail_avancement!B535</f>
        <v>0</v>
      </c>
      <c r="J535" s="10">
        <f t="shared" si="0"/>
        <v>30</v>
      </c>
      <c r="K535" s="13">
        <f t="shared" si="1"/>
        <v>0</v>
      </c>
      <c r="L535" s="14">
        <f t="shared" si="2"/>
        <v>0</v>
      </c>
    </row>
    <row r="536" spans="1:12" ht="15.75" customHeight="1">
      <c r="A536" s="8">
        <v>535</v>
      </c>
      <c r="B536" s="8" t="s">
        <v>234</v>
      </c>
      <c r="C536" s="1" t="s">
        <v>667</v>
      </c>
      <c r="D536" s="1" t="s">
        <v>668</v>
      </c>
      <c r="E536" s="1" t="s">
        <v>673</v>
      </c>
      <c r="F536" s="1" t="s">
        <v>213</v>
      </c>
      <c r="G536" s="8" t="s">
        <v>0</v>
      </c>
      <c r="H536" s="1">
        <v>30</v>
      </c>
      <c r="I536" s="10">
        <f>detail_avancement!B536</f>
        <v>0</v>
      </c>
      <c r="J536" s="10">
        <f t="shared" si="0"/>
        <v>30</v>
      </c>
      <c r="K536" s="13">
        <f t="shared" si="1"/>
        <v>0</v>
      </c>
      <c r="L536" s="14">
        <f t="shared" si="2"/>
        <v>0</v>
      </c>
    </row>
    <row r="537" spans="1:12" ht="15.75" customHeight="1">
      <c r="A537" s="8">
        <v>536</v>
      </c>
      <c r="B537" s="8" t="s">
        <v>234</v>
      </c>
      <c r="C537" s="1" t="s">
        <v>667</v>
      </c>
      <c r="D537" s="1" t="s">
        <v>668</v>
      </c>
      <c r="E537" s="1" t="s">
        <v>674</v>
      </c>
      <c r="F537" s="1" t="s">
        <v>106</v>
      </c>
      <c r="G537" s="8" t="s">
        <v>0</v>
      </c>
      <c r="H537" s="1">
        <v>30</v>
      </c>
      <c r="I537" s="10">
        <f>detail_avancement!B537</f>
        <v>0</v>
      </c>
      <c r="J537" s="10">
        <f t="shared" si="0"/>
        <v>30</v>
      </c>
      <c r="K537" s="13">
        <f t="shared" si="1"/>
        <v>0</v>
      </c>
      <c r="L537" s="14">
        <f t="shared" si="2"/>
        <v>0</v>
      </c>
    </row>
    <row r="538" spans="1:12" ht="15.75" customHeight="1">
      <c r="A538" s="8">
        <v>537</v>
      </c>
      <c r="B538" s="8" t="s">
        <v>234</v>
      </c>
      <c r="C538" s="1" t="s">
        <v>667</v>
      </c>
      <c r="D538" s="1" t="s">
        <v>668</v>
      </c>
      <c r="E538" s="1" t="s">
        <v>482</v>
      </c>
      <c r="F538" s="1" t="s">
        <v>213</v>
      </c>
      <c r="G538" s="8" t="s">
        <v>0</v>
      </c>
      <c r="H538" s="1">
        <v>30</v>
      </c>
      <c r="I538" s="10">
        <f>detail_avancement!B538</f>
        <v>0</v>
      </c>
      <c r="J538" s="10">
        <f t="shared" si="0"/>
        <v>30</v>
      </c>
      <c r="K538" s="13">
        <f t="shared" si="1"/>
        <v>0</v>
      </c>
      <c r="L538" s="14">
        <f t="shared" si="2"/>
        <v>0</v>
      </c>
    </row>
    <row r="539" spans="1:12" ht="15.75" customHeight="1">
      <c r="A539" s="8">
        <v>538</v>
      </c>
      <c r="B539" s="8" t="s">
        <v>234</v>
      </c>
      <c r="C539" s="1" t="s">
        <v>667</v>
      </c>
      <c r="D539" s="1" t="s">
        <v>668</v>
      </c>
      <c r="E539" s="1" t="s">
        <v>675</v>
      </c>
      <c r="F539" s="1" t="s">
        <v>213</v>
      </c>
      <c r="G539" s="8" t="s">
        <v>0</v>
      </c>
      <c r="H539" s="1">
        <v>30</v>
      </c>
      <c r="I539" s="10">
        <f>detail_avancement!B539</f>
        <v>0</v>
      </c>
      <c r="J539" s="10">
        <f t="shared" si="0"/>
        <v>30</v>
      </c>
      <c r="K539" s="13">
        <f t="shared" si="1"/>
        <v>0</v>
      </c>
      <c r="L539" s="14">
        <f t="shared" si="2"/>
        <v>0</v>
      </c>
    </row>
    <row r="540" spans="1:12" ht="15.75" customHeight="1">
      <c r="A540" s="8">
        <v>539</v>
      </c>
      <c r="B540" s="8" t="s">
        <v>234</v>
      </c>
      <c r="C540" s="1" t="s">
        <v>667</v>
      </c>
      <c r="D540" s="1" t="s">
        <v>668</v>
      </c>
      <c r="E540" s="1" t="s">
        <v>676</v>
      </c>
      <c r="F540" s="1" t="s">
        <v>213</v>
      </c>
      <c r="G540" s="8" t="s">
        <v>0</v>
      </c>
      <c r="H540" s="1">
        <v>30</v>
      </c>
      <c r="I540" s="10">
        <f>detail_avancement!B540</f>
        <v>0</v>
      </c>
      <c r="J540" s="10">
        <f t="shared" si="0"/>
        <v>30</v>
      </c>
      <c r="K540" s="13">
        <f t="shared" si="1"/>
        <v>0</v>
      </c>
      <c r="L540" s="14">
        <f t="shared" si="2"/>
        <v>0</v>
      </c>
    </row>
    <row r="541" spans="1:12" ht="15.75" customHeight="1">
      <c r="A541" s="8">
        <v>540</v>
      </c>
      <c r="B541" s="8" t="s">
        <v>234</v>
      </c>
      <c r="C541" s="1" t="s">
        <v>667</v>
      </c>
      <c r="D541" s="1" t="s">
        <v>668</v>
      </c>
      <c r="E541" s="1" t="s">
        <v>677</v>
      </c>
      <c r="F541" s="1" t="s">
        <v>213</v>
      </c>
      <c r="G541" s="8" t="s">
        <v>0</v>
      </c>
      <c r="H541" s="1">
        <v>30</v>
      </c>
      <c r="I541" s="10">
        <f>detail_avancement!B541</f>
        <v>0</v>
      </c>
      <c r="J541" s="10">
        <f t="shared" si="0"/>
        <v>30</v>
      </c>
      <c r="K541" s="13">
        <f t="shared" si="1"/>
        <v>0</v>
      </c>
      <c r="L541" s="14">
        <f t="shared" si="2"/>
        <v>0</v>
      </c>
    </row>
    <row r="542" spans="1:12" ht="15.75" customHeight="1">
      <c r="A542" s="8">
        <v>541</v>
      </c>
      <c r="B542" s="8" t="s">
        <v>234</v>
      </c>
      <c r="C542" s="1" t="s">
        <v>667</v>
      </c>
      <c r="D542" s="1" t="s">
        <v>678</v>
      </c>
      <c r="E542" s="1" t="s">
        <v>679</v>
      </c>
      <c r="F542" s="1" t="s">
        <v>227</v>
      </c>
      <c r="G542" s="8" t="s">
        <v>0</v>
      </c>
      <c r="H542" s="1">
        <v>30</v>
      </c>
      <c r="I542" s="10">
        <f>detail_avancement!B542</f>
        <v>0</v>
      </c>
      <c r="J542" s="10">
        <f t="shared" si="0"/>
        <v>30</v>
      </c>
      <c r="K542" s="13">
        <f t="shared" si="1"/>
        <v>0</v>
      </c>
      <c r="L542" s="14">
        <f t="shared" si="2"/>
        <v>0</v>
      </c>
    </row>
    <row r="543" spans="1:12" ht="15.75" customHeight="1">
      <c r="A543" s="8">
        <v>542</v>
      </c>
      <c r="B543" s="8" t="s">
        <v>234</v>
      </c>
      <c r="C543" s="1" t="s">
        <v>667</v>
      </c>
      <c r="D543" s="1" t="s">
        <v>678</v>
      </c>
      <c r="E543" s="1" t="s">
        <v>617</v>
      </c>
      <c r="F543" s="1" t="s">
        <v>227</v>
      </c>
      <c r="G543" s="8" t="s">
        <v>0</v>
      </c>
      <c r="H543" s="1">
        <v>30</v>
      </c>
      <c r="I543" s="10">
        <f>detail_avancement!B543</f>
        <v>0</v>
      </c>
      <c r="J543" s="10">
        <f t="shared" si="0"/>
        <v>30</v>
      </c>
      <c r="K543" s="13">
        <f t="shared" si="1"/>
        <v>0</v>
      </c>
      <c r="L543" s="14">
        <f t="shared" si="2"/>
        <v>0</v>
      </c>
    </row>
    <row r="544" spans="1:12" ht="15.75" customHeight="1">
      <c r="A544" s="8">
        <v>543</v>
      </c>
      <c r="B544" s="8" t="s">
        <v>234</v>
      </c>
      <c r="C544" s="1" t="s">
        <v>667</v>
      </c>
      <c r="D544" s="1" t="s">
        <v>678</v>
      </c>
      <c r="E544" s="1" t="s">
        <v>680</v>
      </c>
      <c r="F544" s="1" t="s">
        <v>227</v>
      </c>
      <c r="G544" s="8" t="s">
        <v>0</v>
      </c>
      <c r="H544" s="1">
        <v>30</v>
      </c>
      <c r="I544" s="10">
        <f>detail_avancement!B544</f>
        <v>0</v>
      </c>
      <c r="J544" s="10">
        <f t="shared" si="0"/>
        <v>30</v>
      </c>
      <c r="K544" s="13">
        <f t="shared" si="1"/>
        <v>0</v>
      </c>
      <c r="L544" s="14">
        <f t="shared" si="2"/>
        <v>0</v>
      </c>
    </row>
    <row r="545" spans="1:12" ht="15.75" customHeight="1">
      <c r="A545" s="8">
        <v>544</v>
      </c>
      <c r="B545" s="8" t="s">
        <v>234</v>
      </c>
      <c r="C545" s="1" t="s">
        <v>667</v>
      </c>
      <c r="D545" s="1" t="s">
        <v>678</v>
      </c>
      <c r="E545" s="1" t="s">
        <v>681</v>
      </c>
      <c r="F545" s="1" t="s">
        <v>227</v>
      </c>
      <c r="G545" s="8" t="s">
        <v>0</v>
      </c>
      <c r="H545" s="1">
        <v>30</v>
      </c>
      <c r="I545" s="10">
        <f>detail_avancement!B545</f>
        <v>0</v>
      </c>
      <c r="J545" s="10">
        <f t="shared" si="0"/>
        <v>30</v>
      </c>
      <c r="K545" s="13">
        <f t="shared" si="1"/>
        <v>0</v>
      </c>
      <c r="L545" s="14">
        <f t="shared" si="2"/>
        <v>0</v>
      </c>
    </row>
    <row r="546" spans="1:12" ht="15.75" customHeight="1">
      <c r="A546" s="8">
        <v>545</v>
      </c>
      <c r="B546" s="8" t="s">
        <v>234</v>
      </c>
      <c r="C546" s="1" t="s">
        <v>667</v>
      </c>
      <c r="D546" s="1" t="s">
        <v>678</v>
      </c>
      <c r="E546" s="1" t="s">
        <v>682</v>
      </c>
      <c r="F546" s="1" t="s">
        <v>227</v>
      </c>
      <c r="G546" s="8" t="s">
        <v>0</v>
      </c>
      <c r="H546" s="1">
        <v>30</v>
      </c>
      <c r="I546" s="10">
        <f>detail_avancement!B546</f>
        <v>0</v>
      </c>
      <c r="J546" s="10">
        <f t="shared" si="0"/>
        <v>30</v>
      </c>
      <c r="K546" s="13">
        <f t="shared" si="1"/>
        <v>0</v>
      </c>
      <c r="L546" s="14">
        <f t="shared" si="2"/>
        <v>0</v>
      </c>
    </row>
    <row r="547" spans="1:12" ht="15.75" customHeight="1">
      <c r="A547" s="8">
        <v>546</v>
      </c>
      <c r="B547" s="8" t="s">
        <v>234</v>
      </c>
      <c r="C547" s="1" t="s">
        <v>667</v>
      </c>
      <c r="D547" s="1" t="s">
        <v>678</v>
      </c>
      <c r="E547" s="1" t="s">
        <v>683</v>
      </c>
      <c r="F547" s="1" t="s">
        <v>227</v>
      </c>
      <c r="G547" s="8" t="s">
        <v>0</v>
      </c>
      <c r="H547" s="1">
        <v>30</v>
      </c>
      <c r="I547" s="10">
        <f>detail_avancement!B547</f>
        <v>0</v>
      </c>
      <c r="J547" s="10">
        <f t="shared" si="0"/>
        <v>30</v>
      </c>
      <c r="K547" s="13">
        <f t="shared" si="1"/>
        <v>0</v>
      </c>
      <c r="L547" s="14">
        <f t="shared" si="2"/>
        <v>0</v>
      </c>
    </row>
    <row r="548" spans="1:12" ht="15.75" customHeight="1">
      <c r="A548" s="8">
        <v>547</v>
      </c>
      <c r="B548" s="8" t="s">
        <v>234</v>
      </c>
      <c r="C548" s="1" t="s">
        <v>667</v>
      </c>
      <c r="D548" s="1" t="s">
        <v>678</v>
      </c>
      <c r="E548" s="1" t="s">
        <v>684</v>
      </c>
      <c r="F548" s="1" t="s">
        <v>227</v>
      </c>
      <c r="G548" s="8" t="s">
        <v>0</v>
      </c>
      <c r="H548" s="1">
        <v>30</v>
      </c>
      <c r="I548" s="10">
        <f>detail_avancement!B548</f>
        <v>0</v>
      </c>
      <c r="J548" s="10">
        <f t="shared" si="0"/>
        <v>30</v>
      </c>
      <c r="K548" s="13">
        <f t="shared" si="1"/>
        <v>0</v>
      </c>
      <c r="L548" s="14">
        <f t="shared" si="2"/>
        <v>0</v>
      </c>
    </row>
    <row r="549" spans="1:12" ht="15.75" customHeight="1">
      <c r="A549" s="8">
        <v>548</v>
      </c>
      <c r="B549" s="8" t="s">
        <v>234</v>
      </c>
      <c r="C549" s="1" t="s">
        <v>667</v>
      </c>
      <c r="D549" s="1" t="s">
        <v>678</v>
      </c>
      <c r="E549" s="1" t="s">
        <v>685</v>
      </c>
      <c r="F549" s="1" t="s">
        <v>267</v>
      </c>
      <c r="G549" s="8" t="s">
        <v>0</v>
      </c>
      <c r="H549" s="1">
        <v>30</v>
      </c>
      <c r="I549" s="10">
        <f>detail_avancement!B549</f>
        <v>0</v>
      </c>
      <c r="J549" s="10">
        <f t="shared" si="0"/>
        <v>30</v>
      </c>
      <c r="K549" s="13">
        <f t="shared" si="1"/>
        <v>0</v>
      </c>
      <c r="L549" s="14">
        <f t="shared" si="2"/>
        <v>0</v>
      </c>
    </row>
    <row r="550" spans="1:12" ht="15.75" customHeight="1">
      <c r="A550" s="8">
        <v>549</v>
      </c>
      <c r="B550" s="8" t="s">
        <v>234</v>
      </c>
      <c r="C550" s="1" t="s">
        <v>667</v>
      </c>
      <c r="D550" s="1" t="s">
        <v>678</v>
      </c>
      <c r="E550" s="1" t="s">
        <v>313</v>
      </c>
      <c r="F550" s="1" t="s">
        <v>267</v>
      </c>
      <c r="G550" s="8" t="s">
        <v>0</v>
      </c>
      <c r="H550" s="1">
        <v>30</v>
      </c>
      <c r="I550" s="10">
        <f>detail_avancement!B550</f>
        <v>0</v>
      </c>
      <c r="J550" s="10">
        <f t="shared" si="0"/>
        <v>30</v>
      </c>
      <c r="K550" s="13">
        <f t="shared" si="1"/>
        <v>0</v>
      </c>
      <c r="L550" s="14">
        <f t="shared" si="2"/>
        <v>0</v>
      </c>
    </row>
    <row r="551" spans="1:12" ht="15.75" customHeight="1">
      <c r="A551" s="8">
        <v>550</v>
      </c>
      <c r="B551" s="8" t="s">
        <v>234</v>
      </c>
      <c r="C551" s="1" t="s">
        <v>667</v>
      </c>
      <c r="D551" s="1" t="s">
        <v>678</v>
      </c>
      <c r="E551" s="1" t="s">
        <v>686</v>
      </c>
      <c r="F551" s="1" t="s">
        <v>267</v>
      </c>
      <c r="G551" s="8" t="s">
        <v>0</v>
      </c>
      <c r="H551" s="1">
        <v>30</v>
      </c>
      <c r="I551" s="10">
        <f>detail_avancement!B551</f>
        <v>0</v>
      </c>
      <c r="J551" s="10">
        <f t="shared" si="0"/>
        <v>30</v>
      </c>
      <c r="K551" s="13">
        <f t="shared" si="1"/>
        <v>0</v>
      </c>
      <c r="L551" s="14">
        <f t="shared" si="2"/>
        <v>0</v>
      </c>
    </row>
    <row r="552" spans="1:12" ht="15.75" customHeight="1">
      <c r="A552" s="8">
        <v>551</v>
      </c>
      <c r="B552" s="8" t="s">
        <v>234</v>
      </c>
      <c r="C552" s="1" t="s">
        <v>687</v>
      </c>
      <c r="D552" s="1" t="s">
        <v>688</v>
      </c>
      <c r="E552" s="1" t="s">
        <v>689</v>
      </c>
      <c r="F552" s="1" t="s">
        <v>62</v>
      </c>
      <c r="G552" s="8" t="s">
        <v>0</v>
      </c>
      <c r="H552" s="1">
        <v>30</v>
      </c>
      <c r="I552" s="10">
        <f>detail_avancement!B552</f>
        <v>0</v>
      </c>
      <c r="J552" s="10">
        <f t="shared" si="0"/>
        <v>30</v>
      </c>
      <c r="K552" s="13">
        <f t="shared" si="1"/>
        <v>0</v>
      </c>
      <c r="L552" s="14">
        <f t="shared" si="2"/>
        <v>0</v>
      </c>
    </row>
    <row r="553" spans="1:12" ht="15.75" customHeight="1">
      <c r="A553" s="8">
        <v>552</v>
      </c>
      <c r="B553" s="8" t="s">
        <v>234</v>
      </c>
      <c r="C553" s="1" t="s">
        <v>687</v>
      </c>
      <c r="D553" s="1" t="s">
        <v>688</v>
      </c>
      <c r="E553" s="1" t="s">
        <v>690</v>
      </c>
      <c r="F553" s="1" t="s">
        <v>213</v>
      </c>
      <c r="G553" s="8" t="s">
        <v>0</v>
      </c>
      <c r="H553" s="1">
        <v>30</v>
      </c>
      <c r="I553" s="10">
        <f>detail_avancement!B553</f>
        <v>0</v>
      </c>
      <c r="J553" s="10">
        <f t="shared" si="0"/>
        <v>30</v>
      </c>
      <c r="K553" s="13">
        <f t="shared" si="1"/>
        <v>0</v>
      </c>
      <c r="L553" s="14">
        <f t="shared" si="2"/>
        <v>0</v>
      </c>
    </row>
    <row r="554" spans="1:12" ht="15.75" customHeight="1">
      <c r="A554" s="8">
        <v>553</v>
      </c>
      <c r="B554" s="8" t="s">
        <v>234</v>
      </c>
      <c r="C554" s="1" t="s">
        <v>687</v>
      </c>
      <c r="D554" s="1" t="s">
        <v>688</v>
      </c>
      <c r="E554" s="1" t="s">
        <v>691</v>
      </c>
      <c r="F554" s="1" t="s">
        <v>227</v>
      </c>
      <c r="G554" s="8" t="s">
        <v>0</v>
      </c>
      <c r="H554" s="1">
        <v>30</v>
      </c>
      <c r="I554" s="10">
        <f>detail_avancement!B554</f>
        <v>0</v>
      </c>
      <c r="J554" s="10">
        <f t="shared" si="0"/>
        <v>30</v>
      </c>
      <c r="K554" s="13">
        <f t="shared" si="1"/>
        <v>0</v>
      </c>
      <c r="L554" s="14">
        <f t="shared" si="2"/>
        <v>0</v>
      </c>
    </row>
    <row r="555" spans="1:12" ht="15.75" customHeight="1">
      <c r="A555" s="8">
        <v>554</v>
      </c>
      <c r="B555" s="8" t="s">
        <v>234</v>
      </c>
      <c r="C555" s="1" t="s">
        <v>687</v>
      </c>
      <c r="D555" s="1" t="s">
        <v>688</v>
      </c>
      <c r="E555" s="1" t="s">
        <v>692</v>
      </c>
      <c r="F555" s="1" t="s">
        <v>227</v>
      </c>
      <c r="G555" s="8" t="s">
        <v>0</v>
      </c>
      <c r="H555" s="1">
        <v>30</v>
      </c>
      <c r="I555" s="10">
        <f>detail_avancement!B555</f>
        <v>0</v>
      </c>
      <c r="J555" s="10">
        <f t="shared" si="0"/>
        <v>30</v>
      </c>
      <c r="K555" s="13">
        <f t="shared" si="1"/>
        <v>0</v>
      </c>
      <c r="L555" s="14">
        <f t="shared" si="2"/>
        <v>0</v>
      </c>
    </row>
    <row r="556" spans="1:12" ht="15.75" customHeight="1">
      <c r="A556" s="8">
        <v>555</v>
      </c>
      <c r="B556" s="8" t="s">
        <v>234</v>
      </c>
      <c r="C556" s="1" t="s">
        <v>687</v>
      </c>
      <c r="D556" s="1" t="s">
        <v>688</v>
      </c>
      <c r="E556" s="1" t="s">
        <v>693</v>
      </c>
      <c r="F556" s="1" t="s">
        <v>227</v>
      </c>
      <c r="G556" s="8" t="s">
        <v>0</v>
      </c>
      <c r="H556" s="1">
        <v>30</v>
      </c>
      <c r="I556" s="10">
        <f>detail_avancement!B556</f>
        <v>0</v>
      </c>
      <c r="J556" s="10">
        <f t="shared" si="0"/>
        <v>30</v>
      </c>
      <c r="K556" s="13">
        <f t="shared" si="1"/>
        <v>0</v>
      </c>
      <c r="L556" s="14">
        <f t="shared" si="2"/>
        <v>0</v>
      </c>
    </row>
    <row r="557" spans="1:12" ht="15.75" customHeight="1">
      <c r="A557" s="8">
        <v>556</v>
      </c>
      <c r="B557" s="8" t="s">
        <v>234</v>
      </c>
      <c r="C557" s="1" t="s">
        <v>687</v>
      </c>
      <c r="D557" s="1" t="s">
        <v>688</v>
      </c>
      <c r="E557" s="1" t="s">
        <v>694</v>
      </c>
      <c r="F557" s="1" t="s">
        <v>227</v>
      </c>
      <c r="G557" s="8" t="s">
        <v>0</v>
      </c>
      <c r="H557" s="1">
        <v>30</v>
      </c>
      <c r="I557" s="10">
        <f>detail_avancement!B557</f>
        <v>0</v>
      </c>
      <c r="J557" s="10">
        <f t="shared" si="0"/>
        <v>30</v>
      </c>
      <c r="K557" s="13">
        <f t="shared" si="1"/>
        <v>0</v>
      </c>
      <c r="L557" s="14">
        <f t="shared" si="2"/>
        <v>0</v>
      </c>
    </row>
    <row r="558" spans="1:12" ht="15.75" customHeight="1">
      <c r="A558" s="8">
        <v>557</v>
      </c>
      <c r="B558" s="8" t="s">
        <v>234</v>
      </c>
      <c r="C558" s="1" t="s">
        <v>687</v>
      </c>
      <c r="D558" s="1" t="s">
        <v>688</v>
      </c>
      <c r="E558" s="1" t="s">
        <v>695</v>
      </c>
      <c r="F558" s="1" t="s">
        <v>213</v>
      </c>
      <c r="G558" s="8" t="s">
        <v>0</v>
      </c>
      <c r="H558" s="1">
        <v>30</v>
      </c>
      <c r="I558" s="10">
        <f>detail_avancement!B558</f>
        <v>0</v>
      </c>
      <c r="J558" s="10">
        <f t="shared" si="0"/>
        <v>30</v>
      </c>
      <c r="K558" s="13">
        <f t="shared" si="1"/>
        <v>0</v>
      </c>
      <c r="L558" s="14">
        <f t="shared" si="2"/>
        <v>0</v>
      </c>
    </row>
    <row r="559" spans="1:12" ht="15.75" customHeight="1">
      <c r="A559" s="8">
        <v>558</v>
      </c>
      <c r="B559" s="8" t="s">
        <v>234</v>
      </c>
      <c r="C559" s="1" t="s">
        <v>687</v>
      </c>
      <c r="D559" s="1" t="s">
        <v>688</v>
      </c>
      <c r="E559" s="1" t="s">
        <v>696</v>
      </c>
      <c r="F559" s="1" t="s">
        <v>267</v>
      </c>
      <c r="G559" s="8" t="s">
        <v>0</v>
      </c>
      <c r="H559" s="1">
        <v>30</v>
      </c>
      <c r="I559" s="10">
        <f>detail_avancement!B559</f>
        <v>0</v>
      </c>
      <c r="J559" s="10">
        <f t="shared" si="0"/>
        <v>30</v>
      </c>
      <c r="K559" s="13">
        <f t="shared" si="1"/>
        <v>0</v>
      </c>
      <c r="L559" s="14">
        <f t="shared" si="2"/>
        <v>0</v>
      </c>
    </row>
    <row r="560" spans="1:12" ht="15.75" customHeight="1">
      <c r="A560" s="8">
        <v>559</v>
      </c>
      <c r="B560" s="8" t="s">
        <v>234</v>
      </c>
      <c r="C560" s="1" t="s">
        <v>687</v>
      </c>
      <c r="D560" s="1" t="s">
        <v>688</v>
      </c>
      <c r="E560" s="1" t="s">
        <v>697</v>
      </c>
      <c r="F560" s="1" t="s">
        <v>106</v>
      </c>
      <c r="G560" s="8" t="s">
        <v>0</v>
      </c>
      <c r="H560" s="1">
        <v>30</v>
      </c>
      <c r="I560" s="10">
        <f>detail_avancement!B560</f>
        <v>0</v>
      </c>
      <c r="J560" s="10">
        <f t="shared" si="0"/>
        <v>30</v>
      </c>
      <c r="K560" s="13">
        <f t="shared" si="1"/>
        <v>0</v>
      </c>
      <c r="L560" s="14">
        <f t="shared" si="2"/>
        <v>0</v>
      </c>
    </row>
    <row r="561" spans="1:12" ht="15.75" customHeight="1">
      <c r="A561" s="8">
        <v>560</v>
      </c>
      <c r="B561" s="8" t="s">
        <v>234</v>
      </c>
      <c r="C561" s="1" t="s">
        <v>687</v>
      </c>
      <c r="D561" s="1" t="s">
        <v>688</v>
      </c>
      <c r="E561" s="1" t="s">
        <v>698</v>
      </c>
      <c r="F561" s="1" t="s">
        <v>227</v>
      </c>
      <c r="G561" s="8" t="s">
        <v>0</v>
      </c>
      <c r="H561" s="1">
        <v>30</v>
      </c>
      <c r="I561" s="10">
        <f>detail_avancement!B561</f>
        <v>0</v>
      </c>
      <c r="J561" s="10">
        <f t="shared" si="0"/>
        <v>30</v>
      </c>
      <c r="K561" s="13">
        <f t="shared" si="1"/>
        <v>0</v>
      </c>
      <c r="L561" s="14">
        <f t="shared" si="2"/>
        <v>0</v>
      </c>
    </row>
    <row r="562" spans="1:12" ht="15.75" customHeight="1">
      <c r="A562" s="8">
        <v>561</v>
      </c>
      <c r="B562" s="8" t="s">
        <v>184</v>
      </c>
      <c r="C562" s="1" t="s">
        <v>699</v>
      </c>
      <c r="D562" s="1" t="s">
        <v>700</v>
      </c>
      <c r="E562" s="1" t="s">
        <v>701</v>
      </c>
      <c r="F562" s="1" t="s">
        <v>106</v>
      </c>
      <c r="G562" s="8" t="s">
        <v>0</v>
      </c>
      <c r="H562" s="1">
        <v>30</v>
      </c>
      <c r="I562" s="10">
        <f>detail_avancement!B562</f>
        <v>0</v>
      </c>
      <c r="J562" s="10">
        <f t="shared" si="0"/>
        <v>30</v>
      </c>
      <c r="K562" s="13">
        <f t="shared" si="1"/>
        <v>0</v>
      </c>
      <c r="L562" s="14">
        <f t="shared" si="2"/>
        <v>0</v>
      </c>
    </row>
    <row r="563" spans="1:12" ht="15.75" customHeight="1">
      <c r="A563" s="8">
        <v>562</v>
      </c>
      <c r="B563" s="8" t="s">
        <v>184</v>
      </c>
      <c r="C563" s="1" t="s">
        <v>699</v>
      </c>
      <c r="D563" s="1" t="s">
        <v>700</v>
      </c>
      <c r="E563" s="1" t="s">
        <v>702</v>
      </c>
      <c r="F563" s="1" t="s">
        <v>106</v>
      </c>
      <c r="G563" s="8" t="s">
        <v>0</v>
      </c>
      <c r="H563" s="1">
        <v>30</v>
      </c>
      <c r="I563" s="10">
        <f>detail_avancement!B563</f>
        <v>0</v>
      </c>
      <c r="J563" s="10">
        <f t="shared" si="0"/>
        <v>30</v>
      </c>
      <c r="K563" s="13">
        <f t="shared" si="1"/>
        <v>0</v>
      </c>
      <c r="L563" s="14">
        <f t="shared" si="2"/>
        <v>0</v>
      </c>
    </row>
    <row r="564" spans="1:12" ht="15.75" customHeight="1">
      <c r="A564" s="8">
        <v>563</v>
      </c>
      <c r="B564" s="8" t="s">
        <v>184</v>
      </c>
      <c r="C564" s="1" t="s">
        <v>699</v>
      </c>
      <c r="D564" s="1" t="s">
        <v>700</v>
      </c>
      <c r="E564" s="1" t="s">
        <v>703</v>
      </c>
      <c r="F564" s="1" t="s">
        <v>106</v>
      </c>
      <c r="G564" s="8" t="s">
        <v>0</v>
      </c>
      <c r="H564" s="1">
        <v>30</v>
      </c>
      <c r="I564" s="10">
        <f>detail_avancement!B564</f>
        <v>0</v>
      </c>
      <c r="J564" s="10">
        <f t="shared" si="0"/>
        <v>30</v>
      </c>
      <c r="K564" s="13">
        <f t="shared" si="1"/>
        <v>0</v>
      </c>
      <c r="L564" s="14">
        <f t="shared" si="2"/>
        <v>0</v>
      </c>
    </row>
    <row r="565" spans="1:12" ht="15.75" customHeight="1">
      <c r="A565" s="8">
        <v>564</v>
      </c>
      <c r="B565" s="8" t="s">
        <v>184</v>
      </c>
      <c r="C565" s="1" t="s">
        <v>699</v>
      </c>
      <c r="D565" s="1" t="s">
        <v>700</v>
      </c>
      <c r="E565" s="1" t="s">
        <v>704</v>
      </c>
      <c r="F565" s="1" t="s">
        <v>106</v>
      </c>
      <c r="G565" s="8" t="s">
        <v>0</v>
      </c>
      <c r="H565" s="1">
        <v>30</v>
      </c>
      <c r="I565" s="10">
        <f>detail_avancement!B565</f>
        <v>0</v>
      </c>
      <c r="J565" s="10">
        <f t="shared" si="0"/>
        <v>30</v>
      </c>
      <c r="K565" s="13">
        <f t="shared" si="1"/>
        <v>0</v>
      </c>
      <c r="L565" s="14">
        <f t="shared" si="2"/>
        <v>0</v>
      </c>
    </row>
    <row r="566" spans="1:12" ht="15.75" customHeight="1">
      <c r="A566" s="8">
        <v>565</v>
      </c>
      <c r="B566" s="8" t="s">
        <v>184</v>
      </c>
      <c r="C566" s="1" t="s">
        <v>699</v>
      </c>
      <c r="D566" s="1" t="s">
        <v>700</v>
      </c>
      <c r="E566" s="1" t="s">
        <v>705</v>
      </c>
      <c r="F566" s="1" t="s">
        <v>106</v>
      </c>
      <c r="G566" s="8" t="s">
        <v>0</v>
      </c>
      <c r="H566" s="1">
        <v>30</v>
      </c>
      <c r="I566" s="10">
        <f>detail_avancement!B566</f>
        <v>0</v>
      </c>
      <c r="J566" s="10">
        <f t="shared" si="0"/>
        <v>30</v>
      </c>
      <c r="K566" s="13">
        <f t="shared" si="1"/>
        <v>0</v>
      </c>
      <c r="L566" s="14">
        <f t="shared" si="2"/>
        <v>0</v>
      </c>
    </row>
    <row r="567" spans="1:12" ht="15.75" customHeight="1">
      <c r="A567" s="8">
        <v>566</v>
      </c>
      <c r="B567" s="8" t="s">
        <v>184</v>
      </c>
      <c r="C567" s="1" t="s">
        <v>699</v>
      </c>
      <c r="D567" s="1" t="s">
        <v>700</v>
      </c>
      <c r="E567" s="1" t="s">
        <v>706</v>
      </c>
      <c r="F567" s="1" t="s">
        <v>106</v>
      </c>
      <c r="G567" s="8" t="s">
        <v>0</v>
      </c>
      <c r="H567" s="1">
        <v>30</v>
      </c>
      <c r="I567" s="10">
        <f>detail_avancement!B567</f>
        <v>0</v>
      </c>
      <c r="J567" s="10">
        <f t="shared" si="0"/>
        <v>30</v>
      </c>
      <c r="K567" s="13">
        <f t="shared" si="1"/>
        <v>0</v>
      </c>
      <c r="L567" s="14">
        <f t="shared" si="2"/>
        <v>0</v>
      </c>
    </row>
    <row r="568" spans="1:12" ht="15.75" customHeight="1">
      <c r="A568" s="8">
        <v>567</v>
      </c>
      <c r="B568" s="8" t="s">
        <v>184</v>
      </c>
      <c r="C568" s="1" t="s">
        <v>699</v>
      </c>
      <c r="D568" s="1" t="s">
        <v>700</v>
      </c>
      <c r="E568" s="1" t="s">
        <v>707</v>
      </c>
      <c r="F568" s="1" t="s">
        <v>106</v>
      </c>
      <c r="G568" s="8" t="s">
        <v>0</v>
      </c>
      <c r="H568" s="1">
        <v>30</v>
      </c>
      <c r="I568" s="10">
        <f>detail_avancement!B568</f>
        <v>0</v>
      </c>
      <c r="J568" s="10">
        <f t="shared" si="0"/>
        <v>30</v>
      </c>
      <c r="K568" s="13">
        <f t="shared" si="1"/>
        <v>0</v>
      </c>
      <c r="L568" s="14">
        <f t="shared" si="2"/>
        <v>0</v>
      </c>
    </row>
    <row r="569" spans="1:12" ht="15.75" customHeight="1">
      <c r="A569" s="8">
        <v>568</v>
      </c>
      <c r="B569" s="8" t="s">
        <v>184</v>
      </c>
      <c r="C569" s="1" t="s">
        <v>699</v>
      </c>
      <c r="D569" s="1" t="s">
        <v>700</v>
      </c>
      <c r="E569" s="1" t="s">
        <v>708</v>
      </c>
      <c r="F569" s="1" t="s">
        <v>106</v>
      </c>
      <c r="G569" s="8" t="s">
        <v>0</v>
      </c>
      <c r="H569" s="1">
        <v>30</v>
      </c>
      <c r="I569" s="10">
        <f>detail_avancement!B569</f>
        <v>0</v>
      </c>
      <c r="J569" s="10">
        <f t="shared" si="0"/>
        <v>30</v>
      </c>
      <c r="K569" s="13">
        <f t="shared" si="1"/>
        <v>0</v>
      </c>
      <c r="L569" s="14">
        <f t="shared" si="2"/>
        <v>0</v>
      </c>
    </row>
    <row r="570" spans="1:12" ht="15.75" customHeight="1">
      <c r="A570" s="8">
        <v>569</v>
      </c>
      <c r="B570" s="8" t="s">
        <v>184</v>
      </c>
      <c r="C570" s="1" t="s">
        <v>699</v>
      </c>
      <c r="D570" s="1" t="s">
        <v>700</v>
      </c>
      <c r="E570" s="1" t="s">
        <v>709</v>
      </c>
      <c r="F570" s="1" t="s">
        <v>188</v>
      </c>
      <c r="G570" s="8" t="s">
        <v>0</v>
      </c>
      <c r="H570" s="1">
        <v>30</v>
      </c>
      <c r="I570" s="10">
        <f>detail_avancement!B570</f>
        <v>0</v>
      </c>
      <c r="J570" s="10">
        <f t="shared" si="0"/>
        <v>30</v>
      </c>
      <c r="K570" s="13">
        <f t="shared" si="1"/>
        <v>0</v>
      </c>
      <c r="L570" s="14">
        <f t="shared" si="2"/>
        <v>0</v>
      </c>
    </row>
    <row r="571" spans="1:12" ht="15.75" customHeight="1">
      <c r="A571" s="8">
        <v>570</v>
      </c>
      <c r="B571" s="8" t="s">
        <v>184</v>
      </c>
      <c r="C571" s="1" t="s">
        <v>699</v>
      </c>
      <c r="D571" s="1" t="s">
        <v>700</v>
      </c>
      <c r="E571" s="1" t="s">
        <v>710</v>
      </c>
      <c r="F571" s="1" t="s">
        <v>188</v>
      </c>
      <c r="G571" s="8" t="s">
        <v>0</v>
      </c>
      <c r="H571" s="1">
        <v>15</v>
      </c>
      <c r="I571" s="10">
        <f>detail_avancement!B571</f>
        <v>0</v>
      </c>
      <c r="J571" s="10">
        <f t="shared" si="0"/>
        <v>15</v>
      </c>
      <c r="K571" s="13">
        <f t="shared" si="1"/>
        <v>0</v>
      </c>
      <c r="L571" s="14">
        <f t="shared" si="2"/>
        <v>0</v>
      </c>
    </row>
    <row r="572" spans="1:12" ht="15.75" customHeight="1">
      <c r="A572" s="8">
        <v>571</v>
      </c>
      <c r="B572" s="8" t="s">
        <v>184</v>
      </c>
      <c r="C572" s="1" t="s">
        <v>699</v>
      </c>
      <c r="D572" s="1" t="s">
        <v>700</v>
      </c>
      <c r="E572" s="1" t="s">
        <v>711</v>
      </c>
      <c r="F572" s="1" t="s">
        <v>188</v>
      </c>
      <c r="G572" s="8" t="s">
        <v>0</v>
      </c>
      <c r="H572" s="1">
        <v>15</v>
      </c>
      <c r="I572" s="10">
        <f>detail_avancement!B572</f>
        <v>0</v>
      </c>
      <c r="J572" s="10">
        <f t="shared" si="0"/>
        <v>15</v>
      </c>
      <c r="K572" s="13">
        <f t="shared" si="1"/>
        <v>0</v>
      </c>
      <c r="L572" s="14">
        <f t="shared" si="2"/>
        <v>0</v>
      </c>
    </row>
    <row r="573" spans="1:12" ht="15.75" customHeight="1">
      <c r="A573" s="8">
        <v>572</v>
      </c>
      <c r="B573" s="8" t="s">
        <v>712</v>
      </c>
      <c r="C573" s="1" t="s">
        <v>713</v>
      </c>
      <c r="D573" s="1" t="s">
        <v>714</v>
      </c>
      <c r="E573" s="1" t="s">
        <v>715</v>
      </c>
      <c r="F573" s="1" t="s">
        <v>106</v>
      </c>
      <c r="G573" s="8" t="s">
        <v>0</v>
      </c>
      <c r="H573" s="1">
        <v>30</v>
      </c>
      <c r="I573" s="10">
        <f>detail_avancement!B573</f>
        <v>0</v>
      </c>
      <c r="J573" s="10">
        <f t="shared" si="0"/>
        <v>30</v>
      </c>
      <c r="K573" s="13">
        <f t="shared" si="1"/>
        <v>0</v>
      </c>
      <c r="L573" s="14">
        <f t="shared" si="2"/>
        <v>0</v>
      </c>
    </row>
    <row r="574" spans="1:12" ht="15.75" customHeight="1">
      <c r="A574" s="8">
        <v>573</v>
      </c>
      <c r="B574" s="8" t="s">
        <v>712</v>
      </c>
      <c r="C574" s="1" t="s">
        <v>713</v>
      </c>
      <c r="D574" s="1" t="s">
        <v>714</v>
      </c>
      <c r="E574" s="1" t="s">
        <v>716</v>
      </c>
      <c r="F574" s="1" t="s">
        <v>106</v>
      </c>
      <c r="G574" s="8" t="s">
        <v>0</v>
      </c>
      <c r="H574" s="1">
        <v>30</v>
      </c>
      <c r="I574" s="10">
        <f>detail_avancement!B574</f>
        <v>0</v>
      </c>
      <c r="J574" s="10">
        <f t="shared" si="0"/>
        <v>30</v>
      </c>
      <c r="K574" s="13">
        <f t="shared" si="1"/>
        <v>0</v>
      </c>
      <c r="L574" s="14">
        <f t="shared" si="2"/>
        <v>0</v>
      </c>
    </row>
    <row r="575" spans="1:12" ht="15.75" customHeight="1">
      <c r="A575" s="8">
        <v>574</v>
      </c>
      <c r="B575" s="8" t="s">
        <v>712</v>
      </c>
      <c r="C575" s="1" t="s">
        <v>713</v>
      </c>
      <c r="D575" s="1" t="s">
        <v>714</v>
      </c>
      <c r="E575" s="1" t="s">
        <v>717</v>
      </c>
      <c r="F575" s="1" t="s">
        <v>106</v>
      </c>
      <c r="G575" s="8" t="s">
        <v>0</v>
      </c>
      <c r="H575" s="1">
        <v>30</v>
      </c>
      <c r="I575" s="10">
        <f>detail_avancement!B575</f>
        <v>0</v>
      </c>
      <c r="J575" s="10">
        <f t="shared" si="0"/>
        <v>30</v>
      </c>
      <c r="K575" s="13">
        <f t="shared" si="1"/>
        <v>0</v>
      </c>
      <c r="L575" s="14">
        <f t="shared" si="2"/>
        <v>0</v>
      </c>
    </row>
    <row r="576" spans="1:12" ht="15.75" customHeight="1">
      <c r="A576" s="8">
        <v>575</v>
      </c>
      <c r="B576" s="8" t="s">
        <v>712</v>
      </c>
      <c r="C576" s="1" t="s">
        <v>713</v>
      </c>
      <c r="D576" s="1" t="s">
        <v>714</v>
      </c>
      <c r="E576" s="1" t="s">
        <v>718</v>
      </c>
      <c r="F576" s="1" t="s">
        <v>106</v>
      </c>
      <c r="G576" s="8" t="s">
        <v>0</v>
      </c>
      <c r="H576" s="1">
        <v>30</v>
      </c>
      <c r="I576" s="10">
        <f>detail_avancement!B576</f>
        <v>0</v>
      </c>
      <c r="J576" s="10">
        <f t="shared" si="0"/>
        <v>30</v>
      </c>
      <c r="K576" s="13">
        <f t="shared" si="1"/>
        <v>0</v>
      </c>
      <c r="L576" s="14">
        <f t="shared" si="2"/>
        <v>0</v>
      </c>
    </row>
    <row r="577" spans="1:12" ht="15.75" customHeight="1">
      <c r="A577" s="8">
        <v>576</v>
      </c>
      <c r="B577" s="8" t="s">
        <v>712</v>
      </c>
      <c r="C577" s="1" t="s">
        <v>713</v>
      </c>
      <c r="D577" s="1" t="s">
        <v>714</v>
      </c>
      <c r="E577" s="1" t="s">
        <v>719</v>
      </c>
      <c r="F577" s="1" t="s">
        <v>106</v>
      </c>
      <c r="G577" s="8" t="s">
        <v>0</v>
      </c>
      <c r="H577" s="1">
        <v>30</v>
      </c>
      <c r="I577" s="10">
        <f>detail_avancement!B577</f>
        <v>0</v>
      </c>
      <c r="J577" s="10">
        <f t="shared" si="0"/>
        <v>30</v>
      </c>
      <c r="K577" s="13">
        <f t="shared" si="1"/>
        <v>0</v>
      </c>
      <c r="L577" s="14">
        <f t="shared" si="2"/>
        <v>0</v>
      </c>
    </row>
    <row r="578" spans="1:12" ht="15.75" customHeight="1">
      <c r="A578" s="8">
        <v>577</v>
      </c>
      <c r="B578" s="8" t="s">
        <v>712</v>
      </c>
      <c r="C578" s="1" t="s">
        <v>713</v>
      </c>
      <c r="D578" s="1" t="s">
        <v>714</v>
      </c>
      <c r="E578" s="1" t="s">
        <v>720</v>
      </c>
      <c r="F578" s="1" t="s">
        <v>106</v>
      </c>
      <c r="G578" s="8" t="s">
        <v>0</v>
      </c>
      <c r="H578" s="1">
        <v>30</v>
      </c>
      <c r="I578" s="10">
        <f>detail_avancement!B578</f>
        <v>0</v>
      </c>
      <c r="J578" s="10">
        <f t="shared" si="0"/>
        <v>30</v>
      </c>
      <c r="K578" s="13">
        <f t="shared" si="1"/>
        <v>0</v>
      </c>
      <c r="L578" s="14">
        <f t="shared" si="2"/>
        <v>0</v>
      </c>
    </row>
    <row r="579" spans="1:12" ht="15.75" customHeight="1">
      <c r="A579" s="8">
        <v>578</v>
      </c>
      <c r="B579" s="8" t="s">
        <v>712</v>
      </c>
      <c r="C579" s="1" t="s">
        <v>713</v>
      </c>
      <c r="D579" s="1" t="s">
        <v>714</v>
      </c>
      <c r="E579" s="1" t="s">
        <v>721</v>
      </c>
      <c r="F579" s="1" t="s">
        <v>106</v>
      </c>
      <c r="G579" s="8" t="s">
        <v>0</v>
      </c>
      <c r="H579" s="1">
        <v>30</v>
      </c>
      <c r="I579" s="10">
        <f>detail_avancement!B579</f>
        <v>0</v>
      </c>
      <c r="J579" s="10">
        <f t="shared" si="0"/>
        <v>30</v>
      </c>
      <c r="K579" s="13">
        <f t="shared" si="1"/>
        <v>0</v>
      </c>
      <c r="L579" s="14">
        <f t="shared" si="2"/>
        <v>0</v>
      </c>
    </row>
    <row r="580" spans="1:12" ht="15.75" customHeight="1">
      <c r="A580" s="8">
        <v>579</v>
      </c>
      <c r="B580" s="8" t="s">
        <v>712</v>
      </c>
      <c r="C580" s="1" t="s">
        <v>713</v>
      </c>
      <c r="D580" s="1" t="s">
        <v>714</v>
      </c>
      <c r="E580" s="1" t="s">
        <v>722</v>
      </c>
      <c r="F580" s="1" t="s">
        <v>106</v>
      </c>
      <c r="G580" s="8" t="s">
        <v>0</v>
      </c>
      <c r="H580" s="1">
        <v>30</v>
      </c>
      <c r="I580" s="10">
        <f>detail_avancement!B580</f>
        <v>0</v>
      </c>
      <c r="J580" s="10">
        <f t="shared" si="0"/>
        <v>30</v>
      </c>
      <c r="K580" s="13">
        <f t="shared" si="1"/>
        <v>0</v>
      </c>
      <c r="L580" s="14">
        <f t="shared" si="2"/>
        <v>0</v>
      </c>
    </row>
    <row r="581" spans="1:12" ht="15.75" customHeight="1">
      <c r="A581" s="8">
        <v>580</v>
      </c>
      <c r="B581" s="8" t="s">
        <v>712</v>
      </c>
      <c r="C581" s="1" t="s">
        <v>713</v>
      </c>
      <c r="D581" s="1" t="s">
        <v>714</v>
      </c>
      <c r="E581" s="1" t="s">
        <v>723</v>
      </c>
      <c r="F581" s="1" t="s">
        <v>106</v>
      </c>
      <c r="G581" s="8" t="s">
        <v>0</v>
      </c>
      <c r="H581" s="1">
        <v>30</v>
      </c>
      <c r="I581" s="10">
        <f>detail_avancement!B581</f>
        <v>0</v>
      </c>
      <c r="J581" s="10">
        <f t="shared" si="0"/>
        <v>30</v>
      </c>
      <c r="K581" s="13">
        <f t="shared" si="1"/>
        <v>0</v>
      </c>
      <c r="L581" s="14">
        <f t="shared" si="2"/>
        <v>0</v>
      </c>
    </row>
    <row r="582" spans="1:12" ht="15.75" customHeight="1">
      <c r="A582" s="8">
        <v>581</v>
      </c>
      <c r="B582" s="8" t="s">
        <v>712</v>
      </c>
      <c r="C582" s="1" t="s">
        <v>713</v>
      </c>
      <c r="D582" s="1" t="s">
        <v>714</v>
      </c>
      <c r="E582" s="1" t="s">
        <v>724</v>
      </c>
      <c r="F582" s="1" t="s">
        <v>106</v>
      </c>
      <c r="G582" s="8" t="s">
        <v>0</v>
      </c>
      <c r="H582" s="1">
        <v>30</v>
      </c>
      <c r="I582" s="10">
        <f>detail_avancement!B582</f>
        <v>0</v>
      </c>
      <c r="J582" s="10">
        <f t="shared" si="0"/>
        <v>30</v>
      </c>
      <c r="K582" s="13">
        <f t="shared" si="1"/>
        <v>0</v>
      </c>
      <c r="L582" s="14">
        <f t="shared" si="2"/>
        <v>0</v>
      </c>
    </row>
    <row r="583" spans="1:12" ht="15.75" customHeight="1">
      <c r="A583" s="8">
        <v>582</v>
      </c>
      <c r="B583" s="8" t="s">
        <v>712</v>
      </c>
      <c r="C583" s="1" t="s">
        <v>713</v>
      </c>
      <c r="D583" s="1" t="s">
        <v>725</v>
      </c>
      <c r="E583" s="1" t="s">
        <v>726</v>
      </c>
      <c r="F583" s="1" t="s">
        <v>106</v>
      </c>
      <c r="G583" s="8" t="s">
        <v>0</v>
      </c>
      <c r="H583" s="1">
        <v>30</v>
      </c>
      <c r="I583" s="10">
        <f>detail_avancement!B583</f>
        <v>0</v>
      </c>
      <c r="J583" s="10">
        <f t="shared" si="0"/>
        <v>30</v>
      </c>
      <c r="K583" s="13">
        <f t="shared" si="1"/>
        <v>0</v>
      </c>
      <c r="L583" s="14">
        <f t="shared" si="2"/>
        <v>0</v>
      </c>
    </row>
    <row r="584" spans="1:12" ht="15.75" customHeight="1">
      <c r="A584" s="8">
        <v>583</v>
      </c>
      <c r="B584" s="8" t="s">
        <v>712</v>
      </c>
      <c r="C584" s="1" t="s">
        <v>713</v>
      </c>
      <c r="D584" s="1" t="s">
        <v>725</v>
      </c>
      <c r="E584" s="1" t="s">
        <v>727</v>
      </c>
      <c r="F584" s="1" t="s">
        <v>106</v>
      </c>
      <c r="G584" s="8" t="s">
        <v>0</v>
      </c>
      <c r="H584" s="1">
        <v>30</v>
      </c>
      <c r="I584" s="10">
        <f>detail_avancement!B584</f>
        <v>0</v>
      </c>
      <c r="J584" s="10">
        <f t="shared" si="0"/>
        <v>30</v>
      </c>
      <c r="K584" s="13">
        <f t="shared" si="1"/>
        <v>0</v>
      </c>
      <c r="L584" s="14">
        <f t="shared" si="2"/>
        <v>0</v>
      </c>
    </row>
    <row r="585" spans="1:12" ht="15.75" customHeight="1">
      <c r="A585" s="8">
        <v>584</v>
      </c>
      <c r="B585" s="8" t="s">
        <v>712</v>
      </c>
      <c r="C585" s="1" t="s">
        <v>713</v>
      </c>
      <c r="D585" s="1" t="s">
        <v>725</v>
      </c>
      <c r="E585" s="1" t="s">
        <v>728</v>
      </c>
      <c r="F585" s="1" t="s">
        <v>106</v>
      </c>
      <c r="G585" s="8" t="s">
        <v>0</v>
      </c>
      <c r="H585" s="1">
        <v>30</v>
      </c>
      <c r="I585" s="10">
        <f>detail_avancement!B585</f>
        <v>0</v>
      </c>
      <c r="J585" s="10">
        <f t="shared" si="0"/>
        <v>30</v>
      </c>
      <c r="K585" s="13">
        <f t="shared" si="1"/>
        <v>0</v>
      </c>
      <c r="L585" s="14">
        <f t="shared" si="2"/>
        <v>0</v>
      </c>
    </row>
    <row r="586" spans="1:12" ht="15.75" customHeight="1">
      <c r="A586" s="8">
        <v>585</v>
      </c>
      <c r="B586" s="8" t="s">
        <v>712</v>
      </c>
      <c r="C586" s="1" t="s">
        <v>713</v>
      </c>
      <c r="D586" s="1" t="s">
        <v>725</v>
      </c>
      <c r="E586" s="1" t="s">
        <v>729</v>
      </c>
      <c r="F586" s="1" t="s">
        <v>106</v>
      </c>
      <c r="G586" s="8" t="s">
        <v>0</v>
      </c>
      <c r="H586" s="1">
        <v>30</v>
      </c>
      <c r="I586" s="10">
        <f>detail_avancement!B586</f>
        <v>0</v>
      </c>
      <c r="J586" s="10">
        <f t="shared" si="0"/>
        <v>30</v>
      </c>
      <c r="K586" s="13">
        <f t="shared" si="1"/>
        <v>0</v>
      </c>
      <c r="L586" s="14">
        <f t="shared" si="2"/>
        <v>0</v>
      </c>
    </row>
    <row r="587" spans="1:12" ht="15.75" customHeight="1">
      <c r="A587" s="8">
        <v>586</v>
      </c>
      <c r="B587" s="8" t="s">
        <v>712</v>
      </c>
      <c r="C587" s="1" t="s">
        <v>713</v>
      </c>
      <c r="D587" s="1" t="s">
        <v>725</v>
      </c>
      <c r="E587" s="1" t="s">
        <v>730</v>
      </c>
      <c r="F587" s="1" t="s">
        <v>106</v>
      </c>
      <c r="G587" s="8" t="s">
        <v>0</v>
      </c>
      <c r="H587" s="1">
        <v>30</v>
      </c>
      <c r="I587" s="10">
        <f>detail_avancement!B587</f>
        <v>0</v>
      </c>
      <c r="J587" s="10">
        <f t="shared" si="0"/>
        <v>30</v>
      </c>
      <c r="K587" s="13">
        <f t="shared" si="1"/>
        <v>0</v>
      </c>
      <c r="L587" s="14">
        <f t="shared" si="2"/>
        <v>0</v>
      </c>
    </row>
    <row r="588" spans="1:12" ht="15.75" customHeight="1">
      <c r="A588" s="8">
        <v>587</v>
      </c>
      <c r="B588" s="8" t="s">
        <v>712</v>
      </c>
      <c r="C588" s="1" t="s">
        <v>713</v>
      </c>
      <c r="D588" s="1" t="s">
        <v>725</v>
      </c>
      <c r="E588" s="1" t="s">
        <v>731</v>
      </c>
      <c r="F588" s="1" t="s">
        <v>106</v>
      </c>
      <c r="G588" s="8" t="s">
        <v>0</v>
      </c>
      <c r="H588" s="1">
        <v>30</v>
      </c>
      <c r="I588" s="10">
        <f>detail_avancement!B588</f>
        <v>0</v>
      </c>
      <c r="J588" s="10">
        <f t="shared" si="0"/>
        <v>30</v>
      </c>
      <c r="K588" s="13">
        <f t="shared" si="1"/>
        <v>0</v>
      </c>
      <c r="L588" s="14">
        <f t="shared" si="2"/>
        <v>0</v>
      </c>
    </row>
    <row r="589" spans="1:12" ht="15.75" customHeight="1">
      <c r="A589" s="8">
        <v>588</v>
      </c>
      <c r="B589" s="8" t="s">
        <v>712</v>
      </c>
      <c r="C589" s="1" t="s">
        <v>713</v>
      </c>
      <c r="D589" s="1" t="s">
        <v>725</v>
      </c>
      <c r="E589" s="1" t="s">
        <v>732</v>
      </c>
      <c r="F589" s="1" t="s">
        <v>106</v>
      </c>
      <c r="G589" s="8" t="s">
        <v>0</v>
      </c>
      <c r="H589" s="1">
        <v>30</v>
      </c>
      <c r="I589" s="10">
        <f>detail_avancement!B589</f>
        <v>0</v>
      </c>
      <c r="J589" s="10">
        <f t="shared" si="0"/>
        <v>30</v>
      </c>
      <c r="K589" s="13">
        <f t="shared" si="1"/>
        <v>0</v>
      </c>
      <c r="L589" s="14">
        <f t="shared" si="2"/>
        <v>0</v>
      </c>
    </row>
    <row r="590" spans="1:12" ht="15.75" customHeight="1">
      <c r="A590" s="8">
        <v>589</v>
      </c>
      <c r="B590" s="8" t="s">
        <v>712</v>
      </c>
      <c r="C590" s="1" t="s">
        <v>713</v>
      </c>
      <c r="D590" s="1" t="s">
        <v>725</v>
      </c>
      <c r="E590" s="1" t="s">
        <v>733</v>
      </c>
      <c r="F590" s="1" t="s">
        <v>106</v>
      </c>
      <c r="G590" s="8" t="s">
        <v>0</v>
      </c>
      <c r="H590" s="1">
        <v>30</v>
      </c>
      <c r="I590" s="10">
        <f>detail_avancement!B590</f>
        <v>0</v>
      </c>
      <c r="J590" s="10">
        <f t="shared" si="0"/>
        <v>30</v>
      </c>
      <c r="K590" s="13">
        <f t="shared" si="1"/>
        <v>0</v>
      </c>
      <c r="L590" s="14">
        <f t="shared" si="2"/>
        <v>0</v>
      </c>
    </row>
    <row r="591" spans="1:12" ht="15.75" customHeight="1">
      <c r="A591" s="8">
        <v>590</v>
      </c>
      <c r="B591" s="8" t="s">
        <v>712</v>
      </c>
      <c r="C591" s="1" t="s">
        <v>713</v>
      </c>
      <c r="D591" s="1" t="s">
        <v>725</v>
      </c>
      <c r="E591" s="1" t="s">
        <v>734</v>
      </c>
      <c r="F591" s="1" t="s">
        <v>106</v>
      </c>
      <c r="G591" s="8" t="s">
        <v>0</v>
      </c>
      <c r="H591" s="1">
        <v>30</v>
      </c>
      <c r="I591" s="10">
        <f>detail_avancement!B591</f>
        <v>0</v>
      </c>
      <c r="J591" s="10">
        <f t="shared" si="0"/>
        <v>30</v>
      </c>
      <c r="K591" s="13">
        <f t="shared" si="1"/>
        <v>0</v>
      </c>
      <c r="L591" s="14">
        <f t="shared" si="2"/>
        <v>0</v>
      </c>
    </row>
    <row r="592" spans="1:12" ht="15.75" customHeight="1">
      <c r="A592" s="8">
        <v>591</v>
      </c>
      <c r="B592" s="8" t="s">
        <v>712</v>
      </c>
      <c r="C592" s="1" t="s">
        <v>713</v>
      </c>
      <c r="D592" s="1" t="s">
        <v>725</v>
      </c>
      <c r="E592" s="1" t="s">
        <v>735</v>
      </c>
      <c r="F592" s="1" t="s">
        <v>106</v>
      </c>
      <c r="G592" s="8" t="s">
        <v>0</v>
      </c>
      <c r="H592" s="1">
        <v>30</v>
      </c>
      <c r="I592" s="10">
        <f>detail_avancement!B592</f>
        <v>0</v>
      </c>
      <c r="J592" s="10">
        <f t="shared" si="0"/>
        <v>30</v>
      </c>
      <c r="K592" s="13">
        <f t="shared" si="1"/>
        <v>0</v>
      </c>
      <c r="L592" s="14">
        <f t="shared" si="2"/>
        <v>0</v>
      </c>
    </row>
    <row r="593" spans="1:12" ht="15.75" customHeight="1">
      <c r="A593" s="8">
        <v>592</v>
      </c>
      <c r="B593" s="8" t="s">
        <v>712</v>
      </c>
      <c r="C593" s="1" t="s">
        <v>713</v>
      </c>
      <c r="D593" s="1" t="s">
        <v>736</v>
      </c>
      <c r="E593" s="1" t="s">
        <v>737</v>
      </c>
      <c r="F593" s="1" t="s">
        <v>106</v>
      </c>
      <c r="G593" s="8" t="s">
        <v>0</v>
      </c>
      <c r="H593" s="1">
        <v>30</v>
      </c>
      <c r="I593" s="10">
        <f>detail_avancement!B593</f>
        <v>0</v>
      </c>
      <c r="J593" s="10">
        <f t="shared" si="0"/>
        <v>30</v>
      </c>
      <c r="K593" s="13">
        <f t="shared" si="1"/>
        <v>0</v>
      </c>
      <c r="L593" s="14">
        <f t="shared" si="2"/>
        <v>0</v>
      </c>
    </row>
    <row r="594" spans="1:12" ht="15.75" customHeight="1">
      <c r="A594" s="8">
        <v>593</v>
      </c>
      <c r="B594" s="8" t="s">
        <v>712</v>
      </c>
      <c r="C594" s="1" t="s">
        <v>713</v>
      </c>
      <c r="D594" s="1" t="s">
        <v>736</v>
      </c>
      <c r="E594" s="1" t="s">
        <v>595</v>
      </c>
      <c r="F594" s="1" t="s">
        <v>106</v>
      </c>
      <c r="G594" s="8" t="s">
        <v>0</v>
      </c>
      <c r="H594" s="1">
        <v>30</v>
      </c>
      <c r="I594" s="10">
        <f>detail_avancement!B594</f>
        <v>0</v>
      </c>
      <c r="J594" s="10">
        <f t="shared" si="0"/>
        <v>30</v>
      </c>
      <c r="K594" s="13">
        <f t="shared" si="1"/>
        <v>0</v>
      </c>
      <c r="L594" s="14">
        <f t="shared" si="2"/>
        <v>0</v>
      </c>
    </row>
    <row r="595" spans="1:12" ht="15.75" customHeight="1">
      <c r="A595" s="8">
        <v>594</v>
      </c>
      <c r="B595" s="8" t="s">
        <v>712</v>
      </c>
      <c r="C595" s="1" t="s">
        <v>713</v>
      </c>
      <c r="D595" s="1" t="s">
        <v>736</v>
      </c>
      <c r="E595" s="1" t="s">
        <v>597</v>
      </c>
      <c r="F595" s="1" t="s">
        <v>106</v>
      </c>
      <c r="G595" s="8" t="s">
        <v>0</v>
      </c>
      <c r="H595" s="1">
        <v>30</v>
      </c>
      <c r="I595" s="10">
        <f>detail_avancement!B595</f>
        <v>0</v>
      </c>
      <c r="J595" s="10">
        <f t="shared" si="0"/>
        <v>30</v>
      </c>
      <c r="K595" s="13">
        <f t="shared" si="1"/>
        <v>0</v>
      </c>
      <c r="L595" s="14">
        <f t="shared" si="2"/>
        <v>0</v>
      </c>
    </row>
    <row r="596" spans="1:12" ht="15.75" customHeight="1">
      <c r="A596" s="8">
        <v>595</v>
      </c>
      <c r="B596" s="8" t="s">
        <v>712</v>
      </c>
      <c r="C596" s="1" t="s">
        <v>713</v>
      </c>
      <c r="D596" s="1" t="s">
        <v>736</v>
      </c>
      <c r="E596" s="1" t="s">
        <v>738</v>
      </c>
      <c r="F596" s="1" t="s">
        <v>106</v>
      </c>
      <c r="G596" s="8" t="s">
        <v>0</v>
      </c>
      <c r="H596" s="1">
        <v>30</v>
      </c>
      <c r="I596" s="10">
        <f>detail_avancement!B596</f>
        <v>0</v>
      </c>
      <c r="J596" s="10">
        <f t="shared" si="0"/>
        <v>30</v>
      </c>
      <c r="K596" s="13">
        <f t="shared" si="1"/>
        <v>0</v>
      </c>
      <c r="L596" s="14">
        <f t="shared" si="2"/>
        <v>0</v>
      </c>
    </row>
    <row r="597" spans="1:12" ht="15.75" customHeight="1">
      <c r="A597" s="8">
        <v>596</v>
      </c>
      <c r="B597" s="8" t="s">
        <v>712</v>
      </c>
      <c r="C597" s="1" t="s">
        <v>713</v>
      </c>
      <c r="D597" s="1" t="s">
        <v>736</v>
      </c>
      <c r="E597" s="1" t="s">
        <v>739</v>
      </c>
      <c r="F597" s="1" t="s">
        <v>106</v>
      </c>
      <c r="G597" s="8" t="s">
        <v>0</v>
      </c>
      <c r="H597" s="1">
        <v>30</v>
      </c>
      <c r="I597" s="10">
        <f>detail_avancement!B597</f>
        <v>0</v>
      </c>
      <c r="J597" s="10">
        <f t="shared" si="0"/>
        <v>30</v>
      </c>
      <c r="K597" s="13">
        <f t="shared" si="1"/>
        <v>0</v>
      </c>
      <c r="L597" s="14">
        <f t="shared" si="2"/>
        <v>0</v>
      </c>
    </row>
    <row r="598" spans="1:12" ht="15.75" customHeight="1">
      <c r="A598" s="8">
        <v>597</v>
      </c>
      <c r="B598" s="8" t="s">
        <v>712</v>
      </c>
      <c r="C598" s="1" t="s">
        <v>713</v>
      </c>
      <c r="D598" s="1" t="s">
        <v>740</v>
      </c>
      <c r="E598" s="1" t="s">
        <v>466</v>
      </c>
      <c r="F598" s="1" t="s">
        <v>106</v>
      </c>
      <c r="G598" s="8" t="s">
        <v>0</v>
      </c>
      <c r="H598" s="1">
        <v>30</v>
      </c>
      <c r="I598" s="10">
        <f>detail_avancement!B598</f>
        <v>0</v>
      </c>
      <c r="J598" s="10">
        <f t="shared" si="0"/>
        <v>30</v>
      </c>
      <c r="K598" s="13">
        <f t="shared" si="1"/>
        <v>0</v>
      </c>
      <c r="L598" s="14">
        <f t="shared" si="2"/>
        <v>0</v>
      </c>
    </row>
    <row r="599" spans="1:12" ht="15.75" customHeight="1">
      <c r="A599" s="8">
        <v>598</v>
      </c>
      <c r="B599" s="8" t="s">
        <v>712</v>
      </c>
      <c r="C599" s="1" t="s">
        <v>713</v>
      </c>
      <c r="D599" s="1" t="s">
        <v>740</v>
      </c>
      <c r="E599" s="1" t="s">
        <v>467</v>
      </c>
      <c r="F599" s="1" t="s">
        <v>106</v>
      </c>
      <c r="G599" s="8" t="s">
        <v>0</v>
      </c>
      <c r="H599" s="1">
        <v>30</v>
      </c>
      <c r="I599" s="10">
        <f>detail_avancement!B599</f>
        <v>0</v>
      </c>
      <c r="J599" s="10">
        <f t="shared" si="0"/>
        <v>30</v>
      </c>
      <c r="K599" s="13">
        <f t="shared" si="1"/>
        <v>0</v>
      </c>
      <c r="L599" s="14">
        <f t="shared" si="2"/>
        <v>0</v>
      </c>
    </row>
    <row r="600" spans="1:12" ht="15.75" customHeight="1">
      <c r="A600" s="8">
        <v>599</v>
      </c>
      <c r="B600" s="8" t="s">
        <v>712</v>
      </c>
      <c r="C600" s="1" t="s">
        <v>713</v>
      </c>
      <c r="D600" s="1" t="s">
        <v>740</v>
      </c>
      <c r="E600" s="1" t="s">
        <v>468</v>
      </c>
      <c r="F600" s="1" t="s">
        <v>106</v>
      </c>
      <c r="G600" s="8" t="s">
        <v>0</v>
      </c>
      <c r="H600" s="1">
        <v>30</v>
      </c>
      <c r="I600" s="10">
        <f>detail_avancement!B600</f>
        <v>0</v>
      </c>
      <c r="J600" s="10">
        <f t="shared" si="0"/>
        <v>30</v>
      </c>
      <c r="K600" s="13">
        <f t="shared" si="1"/>
        <v>0</v>
      </c>
      <c r="L600" s="14">
        <f t="shared" si="2"/>
        <v>0</v>
      </c>
    </row>
    <row r="601" spans="1:12" ht="15.75" customHeight="1">
      <c r="A601" s="8">
        <v>600</v>
      </c>
      <c r="B601" s="8" t="s">
        <v>712</v>
      </c>
      <c r="C601" s="1" t="s">
        <v>713</v>
      </c>
      <c r="D601" s="1" t="s">
        <v>740</v>
      </c>
      <c r="E601" s="1" t="s">
        <v>469</v>
      </c>
      <c r="F601" s="1" t="s">
        <v>106</v>
      </c>
      <c r="G601" s="8" t="s">
        <v>0</v>
      </c>
      <c r="H601" s="1">
        <v>30</v>
      </c>
      <c r="I601" s="10">
        <f>detail_avancement!B601</f>
        <v>0</v>
      </c>
      <c r="J601" s="10">
        <f t="shared" si="0"/>
        <v>30</v>
      </c>
      <c r="K601" s="13">
        <f t="shared" si="1"/>
        <v>0</v>
      </c>
      <c r="L601" s="14">
        <f t="shared" si="2"/>
        <v>0</v>
      </c>
    </row>
    <row r="602" spans="1:12" ht="15.75" customHeight="1">
      <c r="A602" s="8">
        <v>601</v>
      </c>
      <c r="B602" s="8" t="s">
        <v>712</v>
      </c>
      <c r="C602" s="1" t="s">
        <v>713</v>
      </c>
      <c r="D602" s="1" t="s">
        <v>740</v>
      </c>
      <c r="E602" s="1" t="s">
        <v>741</v>
      </c>
      <c r="F602" s="1" t="s">
        <v>106</v>
      </c>
      <c r="G602" s="8" t="s">
        <v>0</v>
      </c>
      <c r="H602" s="1">
        <v>30</v>
      </c>
      <c r="I602" s="10">
        <f>detail_avancement!B602</f>
        <v>0</v>
      </c>
      <c r="J602" s="10">
        <f t="shared" si="0"/>
        <v>30</v>
      </c>
      <c r="K602" s="13">
        <f t="shared" si="1"/>
        <v>0</v>
      </c>
      <c r="L602" s="14">
        <f t="shared" si="2"/>
        <v>0</v>
      </c>
    </row>
    <row r="603" spans="1:12" ht="15.75" customHeight="1">
      <c r="A603" s="8">
        <v>602</v>
      </c>
      <c r="B603" s="8" t="s">
        <v>712</v>
      </c>
      <c r="C603" s="1" t="s">
        <v>713</v>
      </c>
      <c r="D603" s="1" t="s">
        <v>742</v>
      </c>
      <c r="E603" s="1" t="s">
        <v>743</v>
      </c>
      <c r="F603" s="1" t="s">
        <v>106</v>
      </c>
      <c r="G603" s="8" t="s">
        <v>0</v>
      </c>
      <c r="H603" s="1">
        <v>30</v>
      </c>
      <c r="I603" s="10">
        <f>detail_avancement!B603</f>
        <v>0</v>
      </c>
      <c r="J603" s="10">
        <f t="shared" si="0"/>
        <v>30</v>
      </c>
      <c r="K603" s="13">
        <f t="shared" si="1"/>
        <v>0</v>
      </c>
      <c r="L603" s="14">
        <f t="shared" si="2"/>
        <v>0</v>
      </c>
    </row>
    <row r="604" spans="1:12" ht="15.75" customHeight="1">
      <c r="A604" s="8">
        <v>603</v>
      </c>
      <c r="B604" s="8" t="s">
        <v>712</v>
      </c>
      <c r="C604" s="1" t="s">
        <v>713</v>
      </c>
      <c r="D604" s="1" t="s">
        <v>742</v>
      </c>
      <c r="E604" s="1" t="s">
        <v>744</v>
      </c>
      <c r="F604" s="1" t="s">
        <v>106</v>
      </c>
      <c r="G604" s="8" t="s">
        <v>0</v>
      </c>
      <c r="H604" s="1">
        <v>30</v>
      </c>
      <c r="I604" s="10">
        <f>detail_avancement!B604</f>
        <v>0</v>
      </c>
      <c r="J604" s="10">
        <f t="shared" si="0"/>
        <v>30</v>
      </c>
      <c r="K604" s="13">
        <f t="shared" si="1"/>
        <v>0</v>
      </c>
      <c r="L604" s="14">
        <f t="shared" si="2"/>
        <v>0</v>
      </c>
    </row>
    <row r="605" spans="1:12" ht="15.75" customHeight="1">
      <c r="A605" s="8">
        <v>604</v>
      </c>
      <c r="B605" s="8" t="s">
        <v>712</v>
      </c>
      <c r="C605" s="1" t="s">
        <v>713</v>
      </c>
      <c r="D605" s="1" t="s">
        <v>742</v>
      </c>
      <c r="E605" s="1" t="s">
        <v>745</v>
      </c>
      <c r="F605" s="1" t="s">
        <v>106</v>
      </c>
      <c r="G605" s="8" t="s">
        <v>0</v>
      </c>
      <c r="H605" s="1">
        <v>20</v>
      </c>
      <c r="I605" s="10">
        <f>detail_avancement!B605</f>
        <v>0</v>
      </c>
      <c r="J605" s="10">
        <f t="shared" si="0"/>
        <v>20</v>
      </c>
      <c r="K605" s="13">
        <f t="shared" si="1"/>
        <v>0</v>
      </c>
      <c r="L605" s="14">
        <f t="shared" si="2"/>
        <v>0</v>
      </c>
    </row>
    <row r="606" spans="1:12" ht="15.75" customHeight="1">
      <c r="A606" s="8">
        <v>605</v>
      </c>
      <c r="B606" s="8" t="s">
        <v>712</v>
      </c>
      <c r="C606" s="1" t="s">
        <v>713</v>
      </c>
      <c r="D606" s="1" t="s">
        <v>742</v>
      </c>
      <c r="E606" s="1" t="s">
        <v>746</v>
      </c>
      <c r="F606" s="1" t="s">
        <v>106</v>
      </c>
      <c r="G606" s="8" t="s">
        <v>0</v>
      </c>
      <c r="H606" s="1">
        <v>20</v>
      </c>
      <c r="I606" s="10">
        <f>detail_avancement!B606</f>
        <v>0</v>
      </c>
      <c r="J606" s="10">
        <f t="shared" si="0"/>
        <v>20</v>
      </c>
      <c r="K606" s="13">
        <f t="shared" si="1"/>
        <v>0</v>
      </c>
      <c r="L606" s="14">
        <f t="shared" si="2"/>
        <v>0</v>
      </c>
    </row>
    <row r="607" spans="1:12" ht="15.75" customHeight="1">
      <c r="A607" s="8">
        <v>606</v>
      </c>
      <c r="B607" s="8" t="s">
        <v>712</v>
      </c>
      <c r="C607" s="1" t="s">
        <v>713</v>
      </c>
      <c r="D607" s="1" t="s">
        <v>742</v>
      </c>
      <c r="E607" s="1" t="s">
        <v>747</v>
      </c>
      <c r="F607" s="1" t="s">
        <v>106</v>
      </c>
      <c r="G607" s="8" t="s">
        <v>0</v>
      </c>
      <c r="H607" s="1">
        <v>30</v>
      </c>
      <c r="I607" s="10">
        <f>detail_avancement!B607</f>
        <v>0</v>
      </c>
      <c r="J607" s="10">
        <f t="shared" si="0"/>
        <v>30</v>
      </c>
      <c r="K607" s="13">
        <f t="shared" si="1"/>
        <v>0</v>
      </c>
      <c r="L607" s="14">
        <f t="shared" si="2"/>
        <v>0</v>
      </c>
    </row>
    <row r="608" spans="1:12" ht="15.75" customHeight="1">
      <c r="A608" s="8">
        <v>607</v>
      </c>
      <c r="B608" s="8" t="s">
        <v>712</v>
      </c>
      <c r="C608" s="1" t="s">
        <v>713</v>
      </c>
      <c r="D608" s="1" t="s">
        <v>742</v>
      </c>
      <c r="E608" s="1" t="s">
        <v>748</v>
      </c>
      <c r="F608" s="1" t="s">
        <v>106</v>
      </c>
      <c r="G608" s="8" t="s">
        <v>0</v>
      </c>
      <c r="H608" s="1">
        <v>30</v>
      </c>
      <c r="I608" s="10">
        <f>detail_avancement!B608</f>
        <v>0</v>
      </c>
      <c r="J608" s="10">
        <f t="shared" si="0"/>
        <v>30</v>
      </c>
      <c r="K608" s="13">
        <f t="shared" si="1"/>
        <v>0</v>
      </c>
      <c r="L608" s="14">
        <f t="shared" si="2"/>
        <v>0</v>
      </c>
    </row>
    <row r="609" spans="1:12" ht="15.75" customHeight="1">
      <c r="A609" s="8">
        <v>608</v>
      </c>
      <c r="B609" s="8" t="s">
        <v>712</v>
      </c>
      <c r="C609" s="1" t="s">
        <v>713</v>
      </c>
      <c r="D609" s="1" t="s">
        <v>742</v>
      </c>
      <c r="E609" s="1" t="s">
        <v>749</v>
      </c>
      <c r="F609" s="1" t="s">
        <v>106</v>
      </c>
      <c r="G609" s="8" t="s">
        <v>0</v>
      </c>
      <c r="H609" s="1">
        <v>20</v>
      </c>
      <c r="I609" s="10">
        <f>detail_avancement!B609</f>
        <v>0</v>
      </c>
      <c r="J609" s="10">
        <f t="shared" si="0"/>
        <v>20</v>
      </c>
      <c r="K609" s="13">
        <f t="shared" si="1"/>
        <v>0</v>
      </c>
      <c r="L609" s="14">
        <f t="shared" si="2"/>
        <v>0</v>
      </c>
    </row>
    <row r="610" spans="1:12" ht="15.75" customHeight="1">
      <c r="A610" s="8">
        <v>609</v>
      </c>
      <c r="B610" s="8" t="s">
        <v>712</v>
      </c>
      <c r="C610" s="1" t="s">
        <v>713</v>
      </c>
      <c r="D610" s="1" t="s">
        <v>742</v>
      </c>
      <c r="E610" s="1" t="s">
        <v>750</v>
      </c>
      <c r="F610" s="1" t="s">
        <v>106</v>
      </c>
      <c r="G610" s="8" t="s">
        <v>0</v>
      </c>
      <c r="H610" s="1">
        <v>20</v>
      </c>
      <c r="I610" s="10">
        <f>detail_avancement!B610</f>
        <v>0</v>
      </c>
      <c r="J610" s="10">
        <f t="shared" si="0"/>
        <v>20</v>
      </c>
      <c r="K610" s="13">
        <f t="shared" si="1"/>
        <v>0</v>
      </c>
      <c r="L610" s="14">
        <f t="shared" si="2"/>
        <v>0</v>
      </c>
    </row>
    <row r="611" spans="1:12" ht="15.75" customHeight="1">
      <c r="A611" s="8">
        <v>610</v>
      </c>
      <c r="B611" s="8" t="s">
        <v>712</v>
      </c>
      <c r="C611" s="1" t="s">
        <v>713</v>
      </c>
      <c r="D611" s="1" t="s">
        <v>742</v>
      </c>
      <c r="E611" s="1" t="s">
        <v>751</v>
      </c>
      <c r="F611" s="1" t="s">
        <v>106</v>
      </c>
      <c r="G611" s="8" t="s">
        <v>0</v>
      </c>
      <c r="H611" s="1">
        <v>30</v>
      </c>
      <c r="I611" s="10">
        <f>detail_avancement!B611</f>
        <v>0</v>
      </c>
      <c r="J611" s="10">
        <f t="shared" si="0"/>
        <v>30</v>
      </c>
      <c r="K611" s="13">
        <f t="shared" si="1"/>
        <v>0</v>
      </c>
      <c r="L611" s="14">
        <f t="shared" si="2"/>
        <v>0</v>
      </c>
    </row>
    <row r="612" spans="1:12" ht="15.75" customHeight="1">
      <c r="A612" s="8">
        <v>611</v>
      </c>
      <c r="B612" s="8" t="s">
        <v>712</v>
      </c>
      <c r="C612" s="1" t="s">
        <v>713</v>
      </c>
      <c r="D612" s="1" t="s">
        <v>742</v>
      </c>
      <c r="E612" s="1" t="s">
        <v>752</v>
      </c>
      <c r="F612" s="1" t="s">
        <v>106</v>
      </c>
      <c r="G612" s="8" t="s">
        <v>0</v>
      </c>
      <c r="H612" s="1">
        <v>30</v>
      </c>
      <c r="I612" s="10">
        <f>detail_avancement!B612</f>
        <v>0</v>
      </c>
      <c r="J612" s="10">
        <f t="shared" si="0"/>
        <v>30</v>
      </c>
      <c r="K612" s="13">
        <f t="shared" si="1"/>
        <v>0</v>
      </c>
      <c r="L612" s="14">
        <f t="shared" si="2"/>
        <v>0</v>
      </c>
    </row>
    <row r="613" spans="1:12" ht="15.75" customHeight="1">
      <c r="A613" s="8">
        <v>612</v>
      </c>
      <c r="B613" s="8" t="s">
        <v>712</v>
      </c>
      <c r="C613" s="1" t="s">
        <v>713</v>
      </c>
      <c r="D613" s="1" t="s">
        <v>742</v>
      </c>
      <c r="E613" s="1" t="s">
        <v>753</v>
      </c>
      <c r="F613" s="1" t="s">
        <v>106</v>
      </c>
      <c r="G613" s="8" t="s">
        <v>0</v>
      </c>
      <c r="H613" s="1">
        <v>20</v>
      </c>
      <c r="I613" s="10">
        <f>detail_avancement!B613</f>
        <v>0</v>
      </c>
      <c r="J613" s="10">
        <f t="shared" si="0"/>
        <v>20</v>
      </c>
      <c r="K613" s="13">
        <f t="shared" si="1"/>
        <v>0</v>
      </c>
      <c r="L613" s="14">
        <f t="shared" si="2"/>
        <v>0</v>
      </c>
    </row>
    <row r="614" spans="1:12" ht="15.75" customHeight="1">
      <c r="A614" s="8">
        <v>613</v>
      </c>
      <c r="B614" s="8" t="s">
        <v>712</v>
      </c>
      <c r="C614" s="1" t="s">
        <v>713</v>
      </c>
      <c r="D614" s="1" t="s">
        <v>742</v>
      </c>
      <c r="E614" s="1" t="s">
        <v>754</v>
      </c>
      <c r="F614" s="1" t="s">
        <v>106</v>
      </c>
      <c r="G614" s="8" t="s">
        <v>0</v>
      </c>
      <c r="H614" s="1">
        <v>20</v>
      </c>
      <c r="I614" s="10">
        <f>detail_avancement!B614</f>
        <v>0</v>
      </c>
      <c r="J614" s="10">
        <f t="shared" si="0"/>
        <v>20</v>
      </c>
      <c r="K614" s="13">
        <f t="shared" si="1"/>
        <v>0</v>
      </c>
      <c r="L614" s="14">
        <f t="shared" si="2"/>
        <v>0</v>
      </c>
    </row>
    <row r="615" spans="1:12" ht="15.75" customHeight="1">
      <c r="A615" s="8">
        <v>614</v>
      </c>
      <c r="B615" s="8" t="s">
        <v>712</v>
      </c>
      <c r="C615" s="1" t="s">
        <v>713</v>
      </c>
      <c r="D615" s="1" t="s">
        <v>755</v>
      </c>
      <c r="E615" s="1" t="s">
        <v>756</v>
      </c>
      <c r="F615" s="1" t="s">
        <v>213</v>
      </c>
      <c r="G615" s="8" t="s">
        <v>0</v>
      </c>
      <c r="H615" s="1">
        <v>30</v>
      </c>
      <c r="I615" s="10">
        <f>detail_avancement!B615</f>
        <v>0</v>
      </c>
      <c r="J615" s="10">
        <f t="shared" si="0"/>
        <v>30</v>
      </c>
      <c r="K615" s="13">
        <f t="shared" si="1"/>
        <v>0</v>
      </c>
      <c r="L615" s="14">
        <f t="shared" si="2"/>
        <v>0</v>
      </c>
    </row>
    <row r="616" spans="1:12" ht="15.75" customHeight="1">
      <c r="A616" s="8">
        <v>615</v>
      </c>
      <c r="B616" s="8" t="s">
        <v>712</v>
      </c>
      <c r="C616" s="1" t="s">
        <v>713</v>
      </c>
      <c r="D616" s="1" t="s">
        <v>755</v>
      </c>
      <c r="E616" s="1" t="s">
        <v>757</v>
      </c>
      <c r="F616" s="1" t="s">
        <v>213</v>
      </c>
      <c r="G616" s="8" t="s">
        <v>0</v>
      </c>
      <c r="H616" s="1">
        <v>30</v>
      </c>
      <c r="I616" s="10">
        <f>detail_avancement!B616</f>
        <v>0</v>
      </c>
      <c r="J616" s="10">
        <f t="shared" si="0"/>
        <v>30</v>
      </c>
      <c r="K616" s="13">
        <f t="shared" si="1"/>
        <v>0</v>
      </c>
      <c r="L616" s="14">
        <f t="shared" si="2"/>
        <v>0</v>
      </c>
    </row>
    <row r="617" spans="1:12" ht="15.75" customHeight="1">
      <c r="A617" s="8">
        <v>616</v>
      </c>
      <c r="B617" s="8" t="s">
        <v>712</v>
      </c>
      <c r="C617" s="1" t="s">
        <v>713</v>
      </c>
      <c r="D617" s="1" t="s">
        <v>755</v>
      </c>
      <c r="E617" s="1" t="s">
        <v>758</v>
      </c>
      <c r="F617" s="1" t="s">
        <v>213</v>
      </c>
      <c r="G617" s="8" t="s">
        <v>0</v>
      </c>
      <c r="H617" s="1">
        <v>30</v>
      </c>
      <c r="I617" s="10">
        <f>detail_avancement!B617</f>
        <v>0</v>
      </c>
      <c r="J617" s="10">
        <f t="shared" si="0"/>
        <v>30</v>
      </c>
      <c r="K617" s="13">
        <f t="shared" si="1"/>
        <v>0</v>
      </c>
      <c r="L617" s="14">
        <f t="shared" si="2"/>
        <v>0</v>
      </c>
    </row>
    <row r="618" spans="1:12" ht="15.75" customHeight="1">
      <c r="A618" s="8">
        <v>617</v>
      </c>
      <c r="B618" s="8" t="s">
        <v>712</v>
      </c>
      <c r="C618" s="1" t="s">
        <v>713</v>
      </c>
      <c r="D618" s="1" t="s">
        <v>755</v>
      </c>
      <c r="E618" s="1" t="s">
        <v>759</v>
      </c>
      <c r="F618" s="1" t="s">
        <v>213</v>
      </c>
      <c r="G618" s="8" t="s">
        <v>0</v>
      </c>
      <c r="H618" s="1">
        <v>30</v>
      </c>
      <c r="I618" s="10">
        <f>detail_avancement!B618</f>
        <v>0</v>
      </c>
      <c r="J618" s="10">
        <f t="shared" si="0"/>
        <v>30</v>
      </c>
      <c r="K618" s="13">
        <f t="shared" si="1"/>
        <v>0</v>
      </c>
      <c r="L618" s="14">
        <f t="shared" si="2"/>
        <v>0</v>
      </c>
    </row>
    <row r="619" spans="1:12" ht="15.75" customHeight="1">
      <c r="A619" s="8">
        <v>618</v>
      </c>
      <c r="B619" s="8" t="s">
        <v>712</v>
      </c>
      <c r="C619" s="1" t="s">
        <v>713</v>
      </c>
      <c r="D619" s="1" t="s">
        <v>755</v>
      </c>
      <c r="E619" s="1" t="s">
        <v>760</v>
      </c>
      <c r="F619" s="1" t="s">
        <v>213</v>
      </c>
      <c r="G619" s="8" t="s">
        <v>0</v>
      </c>
      <c r="H619" s="1">
        <v>30</v>
      </c>
      <c r="I619" s="10">
        <f>detail_avancement!B619</f>
        <v>0</v>
      </c>
      <c r="J619" s="10">
        <f t="shared" si="0"/>
        <v>30</v>
      </c>
      <c r="K619" s="13">
        <f t="shared" si="1"/>
        <v>0</v>
      </c>
      <c r="L619" s="14">
        <f t="shared" si="2"/>
        <v>0</v>
      </c>
    </row>
    <row r="620" spans="1:12" ht="15.75" customHeight="1">
      <c r="A620" s="8">
        <v>619</v>
      </c>
      <c r="B620" s="8" t="s">
        <v>712</v>
      </c>
      <c r="C620" s="1" t="s">
        <v>713</v>
      </c>
      <c r="D620" s="1" t="s">
        <v>755</v>
      </c>
      <c r="E620" s="1" t="s">
        <v>761</v>
      </c>
      <c r="F620" s="1" t="s">
        <v>213</v>
      </c>
      <c r="G620" s="8" t="s">
        <v>0</v>
      </c>
      <c r="H620" s="1">
        <v>30</v>
      </c>
      <c r="I620" s="10">
        <f>detail_avancement!B620</f>
        <v>0</v>
      </c>
      <c r="J620" s="10">
        <f t="shared" si="0"/>
        <v>30</v>
      </c>
      <c r="K620" s="13">
        <f t="shared" si="1"/>
        <v>0</v>
      </c>
      <c r="L620" s="14">
        <f t="shared" si="2"/>
        <v>0</v>
      </c>
    </row>
    <row r="621" spans="1:12" ht="15.75" customHeight="1">
      <c r="A621" s="8">
        <v>620</v>
      </c>
      <c r="B621" s="8" t="s">
        <v>712</v>
      </c>
      <c r="C621" s="1" t="s">
        <v>713</v>
      </c>
      <c r="D621" s="1" t="s">
        <v>755</v>
      </c>
      <c r="E621" s="1" t="s">
        <v>762</v>
      </c>
      <c r="F621" s="1" t="s">
        <v>213</v>
      </c>
      <c r="G621" s="8" t="s">
        <v>0</v>
      </c>
      <c r="H621" s="1">
        <v>30</v>
      </c>
      <c r="I621" s="10">
        <f>detail_avancement!B621</f>
        <v>0</v>
      </c>
      <c r="J621" s="10">
        <f t="shared" si="0"/>
        <v>30</v>
      </c>
      <c r="K621" s="13">
        <f t="shared" si="1"/>
        <v>0</v>
      </c>
      <c r="L621" s="14">
        <f t="shared" si="2"/>
        <v>0</v>
      </c>
    </row>
    <row r="622" spans="1:12" ht="15.75" customHeight="1">
      <c r="A622" s="8">
        <v>621</v>
      </c>
      <c r="B622" s="8" t="s">
        <v>712</v>
      </c>
      <c r="C622" s="1" t="s">
        <v>713</v>
      </c>
      <c r="D622" s="1" t="s">
        <v>755</v>
      </c>
      <c r="E622" s="1" t="s">
        <v>763</v>
      </c>
      <c r="F622" s="1" t="s">
        <v>106</v>
      </c>
      <c r="G622" s="8" t="s">
        <v>0</v>
      </c>
      <c r="H622" s="1">
        <v>30</v>
      </c>
      <c r="I622" s="10">
        <f>detail_avancement!B622</f>
        <v>0</v>
      </c>
      <c r="J622" s="10">
        <f t="shared" si="0"/>
        <v>30</v>
      </c>
      <c r="K622" s="13">
        <f t="shared" si="1"/>
        <v>0</v>
      </c>
      <c r="L622" s="14">
        <f t="shared" si="2"/>
        <v>0</v>
      </c>
    </row>
    <row r="623" spans="1:12" ht="15.75" customHeight="1">
      <c r="A623" s="8">
        <v>622</v>
      </c>
      <c r="B623" s="8" t="s">
        <v>712</v>
      </c>
      <c r="C623" s="1" t="s">
        <v>713</v>
      </c>
      <c r="D623" s="1" t="s">
        <v>755</v>
      </c>
      <c r="E623" s="1" t="s">
        <v>764</v>
      </c>
      <c r="F623" s="1" t="s">
        <v>106</v>
      </c>
      <c r="G623" s="8" t="s">
        <v>0</v>
      </c>
      <c r="H623" s="1">
        <v>30</v>
      </c>
      <c r="I623" s="10">
        <f>detail_avancement!B623</f>
        <v>0</v>
      </c>
      <c r="J623" s="10">
        <f t="shared" si="0"/>
        <v>30</v>
      </c>
      <c r="K623" s="13">
        <f t="shared" si="1"/>
        <v>0</v>
      </c>
      <c r="L623" s="14">
        <f t="shared" si="2"/>
        <v>0</v>
      </c>
    </row>
    <row r="624" spans="1:12" ht="15.75" customHeight="1">
      <c r="A624" s="8">
        <v>623</v>
      </c>
      <c r="B624" s="8" t="s">
        <v>712</v>
      </c>
      <c r="C624" s="1" t="s">
        <v>713</v>
      </c>
      <c r="D624" s="1" t="s">
        <v>755</v>
      </c>
      <c r="E624" s="1" t="s">
        <v>765</v>
      </c>
      <c r="F624" s="1" t="s">
        <v>106</v>
      </c>
      <c r="G624" s="8" t="s">
        <v>0</v>
      </c>
      <c r="H624" s="1">
        <v>30</v>
      </c>
      <c r="I624" s="10">
        <f>detail_avancement!B624</f>
        <v>0</v>
      </c>
      <c r="J624" s="10">
        <f t="shared" si="0"/>
        <v>30</v>
      </c>
      <c r="K624" s="13">
        <f t="shared" si="1"/>
        <v>0</v>
      </c>
      <c r="L624" s="14">
        <f t="shared" si="2"/>
        <v>0</v>
      </c>
    </row>
    <row r="625" spans="1:12" ht="15.75" customHeight="1">
      <c r="A625" s="8">
        <v>624</v>
      </c>
      <c r="B625" s="8" t="s">
        <v>712</v>
      </c>
      <c r="C625" s="1" t="s">
        <v>713</v>
      </c>
      <c r="D625" s="1" t="s">
        <v>755</v>
      </c>
      <c r="E625" s="1" t="s">
        <v>766</v>
      </c>
      <c r="F625" s="1" t="s">
        <v>213</v>
      </c>
      <c r="G625" s="8" t="s">
        <v>0</v>
      </c>
      <c r="H625" s="1">
        <v>30</v>
      </c>
      <c r="I625" s="10">
        <f>detail_avancement!B625</f>
        <v>0</v>
      </c>
      <c r="J625" s="10">
        <f t="shared" si="0"/>
        <v>30</v>
      </c>
      <c r="K625" s="13">
        <f t="shared" si="1"/>
        <v>0</v>
      </c>
      <c r="L625" s="14">
        <f t="shared" si="2"/>
        <v>0</v>
      </c>
    </row>
    <row r="626" spans="1:12" ht="15.75" customHeight="1">
      <c r="A626" s="8">
        <v>625</v>
      </c>
      <c r="B626" s="8" t="s">
        <v>712</v>
      </c>
      <c r="C626" s="1" t="s">
        <v>713</v>
      </c>
      <c r="D626" s="1" t="s">
        <v>755</v>
      </c>
      <c r="E626" s="1" t="s">
        <v>767</v>
      </c>
      <c r="F626" s="1" t="s">
        <v>213</v>
      </c>
      <c r="G626" s="8" t="s">
        <v>0</v>
      </c>
      <c r="H626" s="1">
        <v>30</v>
      </c>
      <c r="I626" s="10">
        <f>detail_avancement!B626</f>
        <v>0</v>
      </c>
      <c r="J626" s="10">
        <f t="shared" si="0"/>
        <v>30</v>
      </c>
      <c r="K626" s="13">
        <f t="shared" si="1"/>
        <v>0</v>
      </c>
      <c r="L626" s="14">
        <f t="shared" si="2"/>
        <v>0</v>
      </c>
    </row>
    <row r="627" spans="1:12" ht="15.75" customHeight="1">
      <c r="A627" s="8">
        <v>626</v>
      </c>
      <c r="B627" s="8" t="s">
        <v>712</v>
      </c>
      <c r="C627" s="1" t="s">
        <v>713</v>
      </c>
      <c r="D627" s="1" t="s">
        <v>755</v>
      </c>
      <c r="E627" s="1" t="s">
        <v>768</v>
      </c>
      <c r="F627" s="1" t="s">
        <v>213</v>
      </c>
      <c r="G627" s="8" t="s">
        <v>0</v>
      </c>
      <c r="H627" s="1">
        <v>30</v>
      </c>
      <c r="I627" s="10">
        <f>detail_avancement!B627</f>
        <v>0</v>
      </c>
      <c r="J627" s="10">
        <f t="shared" si="0"/>
        <v>30</v>
      </c>
      <c r="K627" s="13">
        <f t="shared" si="1"/>
        <v>0</v>
      </c>
      <c r="L627" s="14">
        <f t="shared" si="2"/>
        <v>0</v>
      </c>
    </row>
    <row r="628" spans="1:12" ht="15.75" customHeight="1">
      <c r="A628" s="8">
        <v>627</v>
      </c>
      <c r="B628" s="8" t="s">
        <v>712</v>
      </c>
      <c r="C628" s="1" t="s">
        <v>713</v>
      </c>
      <c r="D628" s="1" t="s">
        <v>755</v>
      </c>
      <c r="E628" s="1" t="s">
        <v>769</v>
      </c>
      <c r="F628" s="1" t="s">
        <v>213</v>
      </c>
      <c r="G628" s="8" t="s">
        <v>0</v>
      </c>
      <c r="H628" s="1">
        <v>30</v>
      </c>
      <c r="I628" s="10">
        <f>detail_avancement!B628</f>
        <v>0</v>
      </c>
      <c r="J628" s="10">
        <f t="shared" si="0"/>
        <v>30</v>
      </c>
      <c r="K628" s="13">
        <f t="shared" si="1"/>
        <v>0</v>
      </c>
      <c r="L628" s="14">
        <f t="shared" si="2"/>
        <v>0</v>
      </c>
    </row>
    <row r="629" spans="1:12" ht="15.75" customHeight="1">
      <c r="A629" s="8">
        <v>628</v>
      </c>
      <c r="B629" s="8" t="s">
        <v>712</v>
      </c>
      <c r="C629" s="1" t="s">
        <v>713</v>
      </c>
      <c r="D629" s="1" t="s">
        <v>755</v>
      </c>
      <c r="E629" s="1" t="s">
        <v>770</v>
      </c>
      <c r="F629" s="1" t="s">
        <v>213</v>
      </c>
      <c r="G629" s="8" t="s">
        <v>0</v>
      </c>
      <c r="H629" s="1">
        <v>30</v>
      </c>
      <c r="I629" s="10">
        <f>detail_avancement!B629</f>
        <v>0</v>
      </c>
      <c r="J629" s="10">
        <f t="shared" si="0"/>
        <v>30</v>
      </c>
      <c r="K629" s="13">
        <f t="shared" si="1"/>
        <v>0</v>
      </c>
      <c r="L629" s="14">
        <f t="shared" si="2"/>
        <v>0</v>
      </c>
    </row>
    <row r="630" spans="1:12" ht="15.75" customHeight="1">
      <c r="A630" s="8">
        <v>629</v>
      </c>
      <c r="B630" s="8" t="s">
        <v>712</v>
      </c>
      <c r="C630" s="1" t="s">
        <v>713</v>
      </c>
      <c r="D630" s="1" t="s">
        <v>755</v>
      </c>
      <c r="E630" s="1" t="s">
        <v>771</v>
      </c>
      <c r="F630" s="1" t="s">
        <v>106</v>
      </c>
      <c r="G630" s="8" t="s">
        <v>0</v>
      </c>
      <c r="H630" s="1">
        <v>30</v>
      </c>
      <c r="I630" s="10">
        <f>detail_avancement!B630</f>
        <v>0</v>
      </c>
      <c r="J630" s="10">
        <f t="shared" si="0"/>
        <v>30</v>
      </c>
      <c r="K630" s="13">
        <f t="shared" si="1"/>
        <v>0</v>
      </c>
      <c r="L630" s="14">
        <f t="shared" si="2"/>
        <v>0</v>
      </c>
    </row>
    <row r="631" spans="1:12" ht="15.75" customHeight="1">
      <c r="A631" s="8">
        <v>630</v>
      </c>
      <c r="B631" s="8" t="s">
        <v>712</v>
      </c>
      <c r="C631" s="1" t="s">
        <v>772</v>
      </c>
      <c r="D631" s="1" t="s">
        <v>773</v>
      </c>
      <c r="E631" s="1" t="s">
        <v>176</v>
      </c>
      <c r="F631" s="1" t="s">
        <v>106</v>
      </c>
      <c r="G631" s="8" t="s">
        <v>0</v>
      </c>
      <c r="H631" s="1">
        <v>30</v>
      </c>
      <c r="I631" s="10">
        <f>detail_avancement!B631</f>
        <v>0</v>
      </c>
      <c r="J631" s="10">
        <f t="shared" si="0"/>
        <v>30</v>
      </c>
      <c r="K631" s="13">
        <f t="shared" si="1"/>
        <v>0</v>
      </c>
      <c r="L631" s="14">
        <f t="shared" si="2"/>
        <v>0</v>
      </c>
    </row>
    <row r="632" spans="1:12" ht="15.75" customHeight="1">
      <c r="A632" s="8">
        <v>631</v>
      </c>
      <c r="B632" s="8" t="s">
        <v>712</v>
      </c>
      <c r="C632" s="1" t="s">
        <v>772</v>
      </c>
      <c r="D632" s="1" t="s">
        <v>773</v>
      </c>
      <c r="E632" s="1" t="s">
        <v>774</v>
      </c>
      <c r="F632" s="1" t="s">
        <v>106</v>
      </c>
      <c r="G632" s="8" t="s">
        <v>0</v>
      </c>
      <c r="H632" s="1">
        <v>30</v>
      </c>
      <c r="I632" s="10">
        <f>detail_avancement!B632</f>
        <v>0</v>
      </c>
      <c r="J632" s="10">
        <f t="shared" si="0"/>
        <v>30</v>
      </c>
      <c r="K632" s="13">
        <f t="shared" si="1"/>
        <v>0</v>
      </c>
      <c r="L632" s="14">
        <f t="shared" si="2"/>
        <v>0</v>
      </c>
    </row>
    <row r="633" spans="1:12" ht="15.75" customHeight="1">
      <c r="A633" s="8">
        <v>632</v>
      </c>
      <c r="B633" s="8" t="s">
        <v>712</v>
      </c>
      <c r="C633" s="1" t="s">
        <v>772</v>
      </c>
      <c r="D633" s="1" t="s">
        <v>773</v>
      </c>
      <c r="E633" s="1" t="s">
        <v>775</v>
      </c>
      <c r="F633" s="1" t="s">
        <v>106</v>
      </c>
      <c r="G633" s="8" t="s">
        <v>0</v>
      </c>
      <c r="H633" s="1">
        <v>30</v>
      </c>
      <c r="I633" s="10">
        <f>detail_avancement!B633</f>
        <v>0</v>
      </c>
      <c r="J633" s="10">
        <f t="shared" si="0"/>
        <v>30</v>
      </c>
      <c r="K633" s="13">
        <f t="shared" si="1"/>
        <v>0</v>
      </c>
      <c r="L633" s="14">
        <f t="shared" si="2"/>
        <v>0</v>
      </c>
    </row>
    <row r="634" spans="1:12" ht="15.75" customHeight="1">
      <c r="A634" s="8">
        <v>633</v>
      </c>
      <c r="B634" s="8" t="s">
        <v>712</v>
      </c>
      <c r="C634" s="1" t="s">
        <v>772</v>
      </c>
      <c r="D634" s="1" t="s">
        <v>773</v>
      </c>
      <c r="E634" s="1" t="s">
        <v>776</v>
      </c>
      <c r="F634" s="1" t="s">
        <v>106</v>
      </c>
      <c r="G634" s="8" t="s">
        <v>0</v>
      </c>
      <c r="H634" s="1">
        <v>30</v>
      </c>
      <c r="I634" s="10">
        <f>detail_avancement!B634</f>
        <v>0</v>
      </c>
      <c r="J634" s="10">
        <f t="shared" si="0"/>
        <v>30</v>
      </c>
      <c r="K634" s="13">
        <f t="shared" si="1"/>
        <v>0</v>
      </c>
      <c r="L634" s="14">
        <f t="shared" si="2"/>
        <v>0</v>
      </c>
    </row>
    <row r="635" spans="1:12" ht="15.75" customHeight="1">
      <c r="A635" s="8">
        <v>634</v>
      </c>
      <c r="B635" s="8" t="s">
        <v>712</v>
      </c>
      <c r="C635" s="1" t="s">
        <v>772</v>
      </c>
      <c r="D635" s="1" t="s">
        <v>773</v>
      </c>
      <c r="E635" s="1" t="s">
        <v>777</v>
      </c>
      <c r="F635" s="1" t="s">
        <v>106</v>
      </c>
      <c r="G635" s="8" t="s">
        <v>0</v>
      </c>
      <c r="H635" s="1">
        <v>30</v>
      </c>
      <c r="I635" s="10">
        <f>detail_avancement!B635</f>
        <v>0</v>
      </c>
      <c r="J635" s="10">
        <f t="shared" si="0"/>
        <v>30</v>
      </c>
      <c r="K635" s="13">
        <f t="shared" si="1"/>
        <v>0</v>
      </c>
      <c r="L635" s="14">
        <f t="shared" si="2"/>
        <v>0</v>
      </c>
    </row>
    <row r="636" spans="1:12" ht="15.75" customHeight="1">
      <c r="A636" s="8">
        <v>635</v>
      </c>
      <c r="B636" s="8" t="s">
        <v>712</v>
      </c>
      <c r="C636" s="1" t="s">
        <v>772</v>
      </c>
      <c r="D636" s="1" t="s">
        <v>773</v>
      </c>
      <c r="E636" s="1" t="s">
        <v>778</v>
      </c>
      <c r="F636" s="1" t="s">
        <v>106</v>
      </c>
      <c r="G636" s="8" t="s">
        <v>0</v>
      </c>
      <c r="H636" s="1">
        <v>30</v>
      </c>
      <c r="I636" s="10">
        <f>detail_avancement!B636</f>
        <v>0</v>
      </c>
      <c r="J636" s="10">
        <f t="shared" si="0"/>
        <v>30</v>
      </c>
      <c r="K636" s="13">
        <f t="shared" si="1"/>
        <v>0</v>
      </c>
      <c r="L636" s="14">
        <f t="shared" si="2"/>
        <v>0</v>
      </c>
    </row>
    <row r="637" spans="1:12" ht="15.75" customHeight="1">
      <c r="A637" s="8">
        <v>636</v>
      </c>
      <c r="B637" s="8" t="s">
        <v>712</v>
      </c>
      <c r="C637" s="1" t="s">
        <v>772</v>
      </c>
      <c r="D637" s="1" t="s">
        <v>773</v>
      </c>
      <c r="E637" s="1" t="s">
        <v>779</v>
      </c>
      <c r="F637" s="1" t="s">
        <v>106</v>
      </c>
      <c r="G637" s="8" t="s">
        <v>0</v>
      </c>
      <c r="H637" s="1">
        <v>30</v>
      </c>
      <c r="I637" s="10">
        <f>detail_avancement!B637</f>
        <v>0</v>
      </c>
      <c r="J637" s="10">
        <f t="shared" si="0"/>
        <v>30</v>
      </c>
      <c r="K637" s="13">
        <f t="shared" si="1"/>
        <v>0</v>
      </c>
      <c r="L637" s="14">
        <f t="shared" si="2"/>
        <v>0</v>
      </c>
    </row>
    <row r="638" spans="1:12" ht="15.75" customHeight="1">
      <c r="A638" s="8">
        <v>637</v>
      </c>
      <c r="B638" s="8" t="s">
        <v>712</v>
      </c>
      <c r="C638" s="1" t="s">
        <v>772</v>
      </c>
      <c r="D638" s="1" t="s">
        <v>773</v>
      </c>
      <c r="E638" s="1" t="s">
        <v>780</v>
      </c>
      <c r="F638" s="1" t="s">
        <v>106</v>
      </c>
      <c r="G638" s="8" t="s">
        <v>0</v>
      </c>
      <c r="H638" s="1">
        <v>30</v>
      </c>
      <c r="I638" s="10">
        <f>detail_avancement!B638</f>
        <v>0</v>
      </c>
      <c r="J638" s="10">
        <f t="shared" si="0"/>
        <v>30</v>
      </c>
      <c r="K638" s="13">
        <f t="shared" si="1"/>
        <v>0</v>
      </c>
      <c r="L638" s="14">
        <f t="shared" si="2"/>
        <v>0</v>
      </c>
    </row>
    <row r="639" spans="1:12" ht="15.75" customHeight="1">
      <c r="A639" s="8">
        <v>638</v>
      </c>
      <c r="B639" s="8" t="s">
        <v>712</v>
      </c>
      <c r="C639" s="1" t="s">
        <v>772</v>
      </c>
      <c r="D639" s="1" t="s">
        <v>773</v>
      </c>
      <c r="E639" s="1" t="s">
        <v>781</v>
      </c>
      <c r="F639" s="1" t="s">
        <v>106</v>
      </c>
      <c r="G639" s="8" t="s">
        <v>0</v>
      </c>
      <c r="H639" s="1">
        <v>30</v>
      </c>
      <c r="I639" s="10">
        <f>detail_avancement!B639</f>
        <v>0</v>
      </c>
      <c r="J639" s="10">
        <f t="shared" si="0"/>
        <v>30</v>
      </c>
      <c r="K639" s="13">
        <f t="shared" si="1"/>
        <v>0</v>
      </c>
      <c r="L639" s="14">
        <f t="shared" si="2"/>
        <v>0</v>
      </c>
    </row>
    <row r="640" spans="1:12" ht="15.75" customHeight="1">
      <c r="A640" s="8">
        <v>639</v>
      </c>
      <c r="B640" s="8" t="s">
        <v>712</v>
      </c>
      <c r="C640" s="1" t="s">
        <v>772</v>
      </c>
      <c r="D640" s="1" t="s">
        <v>773</v>
      </c>
      <c r="E640" s="1" t="s">
        <v>782</v>
      </c>
      <c r="F640" s="1" t="s">
        <v>106</v>
      </c>
      <c r="G640" s="8" t="s">
        <v>0</v>
      </c>
      <c r="H640" s="1">
        <v>30</v>
      </c>
      <c r="I640" s="10">
        <f>detail_avancement!B640</f>
        <v>0</v>
      </c>
      <c r="J640" s="10">
        <f t="shared" si="0"/>
        <v>30</v>
      </c>
      <c r="K640" s="13">
        <f t="shared" si="1"/>
        <v>0</v>
      </c>
      <c r="L640" s="14">
        <f t="shared" si="2"/>
        <v>0</v>
      </c>
    </row>
    <row r="641" spans="1:12" ht="15.75" customHeight="1">
      <c r="A641" s="8">
        <v>640</v>
      </c>
      <c r="B641" s="8" t="s">
        <v>712</v>
      </c>
      <c r="C641" s="1" t="s">
        <v>772</v>
      </c>
      <c r="D641" s="1" t="s">
        <v>773</v>
      </c>
      <c r="E641" s="1" t="s">
        <v>783</v>
      </c>
      <c r="F641" s="1" t="s">
        <v>106</v>
      </c>
      <c r="G641" s="8" t="s">
        <v>0</v>
      </c>
      <c r="H641" s="1">
        <v>30</v>
      </c>
      <c r="I641" s="10">
        <f>detail_avancement!B641</f>
        <v>0</v>
      </c>
      <c r="J641" s="10">
        <f t="shared" si="0"/>
        <v>30</v>
      </c>
      <c r="K641" s="13">
        <f t="shared" si="1"/>
        <v>0</v>
      </c>
      <c r="L641" s="14">
        <f t="shared" si="2"/>
        <v>0</v>
      </c>
    </row>
    <row r="642" spans="1:12" ht="15.75" customHeight="1">
      <c r="A642" s="8">
        <v>641</v>
      </c>
      <c r="B642" s="8" t="s">
        <v>712</v>
      </c>
      <c r="C642" s="1" t="s">
        <v>772</v>
      </c>
      <c r="D642" s="1" t="s">
        <v>773</v>
      </c>
      <c r="E642" s="1" t="s">
        <v>784</v>
      </c>
      <c r="F642" s="1" t="s">
        <v>62</v>
      </c>
      <c r="G642" s="8" t="s">
        <v>0</v>
      </c>
      <c r="H642" s="1">
        <v>30</v>
      </c>
      <c r="I642" s="10">
        <f>detail_avancement!B642</f>
        <v>0</v>
      </c>
      <c r="J642" s="10">
        <f t="shared" si="0"/>
        <v>30</v>
      </c>
      <c r="K642" s="13">
        <f t="shared" si="1"/>
        <v>0</v>
      </c>
      <c r="L642" s="14">
        <f t="shared" si="2"/>
        <v>0</v>
      </c>
    </row>
    <row r="643" spans="1:12" ht="15.75" customHeight="1">
      <c r="A643" s="8">
        <v>642</v>
      </c>
      <c r="B643" s="8" t="s">
        <v>712</v>
      </c>
      <c r="C643" s="1" t="s">
        <v>772</v>
      </c>
      <c r="D643" s="1" t="s">
        <v>773</v>
      </c>
      <c r="E643" s="1" t="s">
        <v>785</v>
      </c>
      <c r="F643" s="1" t="s">
        <v>62</v>
      </c>
      <c r="G643" s="8" t="s">
        <v>0</v>
      </c>
      <c r="H643" s="1">
        <v>30</v>
      </c>
      <c r="I643" s="10">
        <f>detail_avancement!B643</f>
        <v>0</v>
      </c>
      <c r="J643" s="10">
        <f t="shared" si="0"/>
        <v>30</v>
      </c>
      <c r="K643" s="13">
        <f t="shared" si="1"/>
        <v>0</v>
      </c>
      <c r="L643" s="14">
        <f t="shared" si="2"/>
        <v>0</v>
      </c>
    </row>
    <row r="644" spans="1:12" ht="15.75" customHeight="1">
      <c r="A644" s="8">
        <v>643</v>
      </c>
      <c r="B644" s="8" t="s">
        <v>712</v>
      </c>
      <c r="C644" s="1" t="s">
        <v>772</v>
      </c>
      <c r="D644" s="1" t="s">
        <v>773</v>
      </c>
      <c r="E644" s="1" t="s">
        <v>786</v>
      </c>
      <c r="F644" s="1" t="s">
        <v>62</v>
      </c>
      <c r="G644" s="8" t="s">
        <v>0</v>
      </c>
      <c r="H644" s="1">
        <v>30</v>
      </c>
      <c r="I644" s="10">
        <f>detail_avancement!B644</f>
        <v>0</v>
      </c>
      <c r="J644" s="10">
        <f t="shared" si="0"/>
        <v>30</v>
      </c>
      <c r="K644" s="13">
        <f t="shared" si="1"/>
        <v>0</v>
      </c>
      <c r="L644" s="14">
        <f t="shared" si="2"/>
        <v>0</v>
      </c>
    </row>
    <row r="645" spans="1:12" ht="15.75" customHeight="1">
      <c r="A645" s="8">
        <v>644</v>
      </c>
      <c r="B645" s="8" t="s">
        <v>712</v>
      </c>
      <c r="C645" s="1" t="s">
        <v>772</v>
      </c>
      <c r="D645" s="1" t="s">
        <v>773</v>
      </c>
      <c r="E645" s="1" t="s">
        <v>787</v>
      </c>
      <c r="F645" s="1" t="s">
        <v>213</v>
      </c>
      <c r="G645" s="8" t="s">
        <v>0</v>
      </c>
      <c r="H645" s="1">
        <v>30</v>
      </c>
      <c r="I645" s="10">
        <f>detail_avancement!B645</f>
        <v>0</v>
      </c>
      <c r="J645" s="10">
        <f t="shared" si="0"/>
        <v>30</v>
      </c>
      <c r="K645" s="13">
        <f t="shared" si="1"/>
        <v>0</v>
      </c>
      <c r="L645" s="14">
        <f t="shared" si="2"/>
        <v>0</v>
      </c>
    </row>
    <row r="646" spans="1:12" ht="15.75" customHeight="1">
      <c r="A646" s="8">
        <v>645</v>
      </c>
      <c r="B646" s="8" t="s">
        <v>712</v>
      </c>
      <c r="C646" s="1" t="s">
        <v>772</v>
      </c>
      <c r="D646" s="1" t="s">
        <v>773</v>
      </c>
      <c r="E646" s="1" t="s">
        <v>788</v>
      </c>
      <c r="F646" s="1" t="s">
        <v>213</v>
      </c>
      <c r="G646" s="8" t="s">
        <v>0</v>
      </c>
      <c r="H646" s="1">
        <v>30</v>
      </c>
      <c r="I646" s="10">
        <f>detail_avancement!B646</f>
        <v>0</v>
      </c>
      <c r="J646" s="10">
        <f t="shared" si="0"/>
        <v>30</v>
      </c>
      <c r="K646" s="13">
        <f t="shared" si="1"/>
        <v>0</v>
      </c>
      <c r="L646" s="14">
        <f t="shared" si="2"/>
        <v>0</v>
      </c>
    </row>
    <row r="647" spans="1:12" ht="15.75" customHeight="1">
      <c r="A647" s="8">
        <v>646</v>
      </c>
      <c r="B647" s="8" t="s">
        <v>712</v>
      </c>
      <c r="C647" s="1" t="s">
        <v>772</v>
      </c>
      <c r="D647" s="1" t="s">
        <v>773</v>
      </c>
      <c r="E647" s="1" t="s">
        <v>789</v>
      </c>
      <c r="F647" s="1" t="s">
        <v>213</v>
      </c>
      <c r="G647" s="8" t="s">
        <v>0</v>
      </c>
      <c r="H647" s="1">
        <v>30</v>
      </c>
      <c r="I647" s="10">
        <f>detail_avancement!B647</f>
        <v>0</v>
      </c>
      <c r="J647" s="10">
        <f t="shared" si="0"/>
        <v>30</v>
      </c>
      <c r="K647" s="13">
        <f t="shared" si="1"/>
        <v>0</v>
      </c>
      <c r="L647" s="14">
        <f t="shared" si="2"/>
        <v>0</v>
      </c>
    </row>
    <row r="648" spans="1:12" ht="15.75" customHeight="1">
      <c r="A648" s="8">
        <v>647</v>
      </c>
      <c r="B648" s="8" t="s">
        <v>712</v>
      </c>
      <c r="C648" s="1" t="s">
        <v>772</v>
      </c>
      <c r="D648" s="1" t="s">
        <v>773</v>
      </c>
      <c r="E648" s="1" t="s">
        <v>790</v>
      </c>
      <c r="F648" s="1" t="s">
        <v>213</v>
      </c>
      <c r="G648" s="8" t="s">
        <v>0</v>
      </c>
      <c r="H648" s="1">
        <v>30</v>
      </c>
      <c r="I648" s="10">
        <f>detail_avancement!B648</f>
        <v>0</v>
      </c>
      <c r="J648" s="10">
        <f t="shared" si="0"/>
        <v>30</v>
      </c>
      <c r="K648" s="13">
        <f t="shared" si="1"/>
        <v>0</v>
      </c>
      <c r="L648" s="14">
        <f t="shared" si="2"/>
        <v>0</v>
      </c>
    </row>
    <row r="649" spans="1:12" ht="15.75" customHeight="1">
      <c r="A649" s="8">
        <v>648</v>
      </c>
      <c r="B649" s="8" t="s">
        <v>712</v>
      </c>
      <c r="C649" s="1" t="s">
        <v>772</v>
      </c>
      <c r="D649" s="1" t="s">
        <v>773</v>
      </c>
      <c r="E649" s="1" t="s">
        <v>791</v>
      </c>
      <c r="F649" s="1" t="s">
        <v>213</v>
      </c>
      <c r="G649" s="8" t="s">
        <v>0</v>
      </c>
      <c r="H649" s="1">
        <v>30</v>
      </c>
      <c r="I649" s="10">
        <f>detail_avancement!B649</f>
        <v>0</v>
      </c>
      <c r="J649" s="10">
        <f t="shared" si="0"/>
        <v>30</v>
      </c>
      <c r="K649" s="13">
        <f t="shared" si="1"/>
        <v>0</v>
      </c>
      <c r="L649" s="14">
        <f t="shared" si="2"/>
        <v>0</v>
      </c>
    </row>
    <row r="650" spans="1:12" ht="15.75" customHeight="1">
      <c r="A650" s="8">
        <v>649</v>
      </c>
      <c r="B650" s="8" t="s">
        <v>712</v>
      </c>
      <c r="C650" s="1" t="s">
        <v>772</v>
      </c>
      <c r="D650" s="1" t="s">
        <v>773</v>
      </c>
      <c r="E650" s="1" t="s">
        <v>792</v>
      </c>
      <c r="F650" s="1" t="s">
        <v>213</v>
      </c>
      <c r="G650" s="8" t="s">
        <v>0</v>
      </c>
      <c r="H650" s="1">
        <v>30</v>
      </c>
      <c r="I650" s="10">
        <f>detail_avancement!B650</f>
        <v>0</v>
      </c>
      <c r="J650" s="10">
        <f t="shared" si="0"/>
        <v>30</v>
      </c>
      <c r="K650" s="13">
        <f t="shared" si="1"/>
        <v>0</v>
      </c>
      <c r="L650" s="14">
        <f t="shared" si="2"/>
        <v>0</v>
      </c>
    </row>
    <row r="651" spans="1:12" ht="15.75" customHeight="1">
      <c r="A651" s="8">
        <v>650</v>
      </c>
      <c r="B651" s="8" t="s">
        <v>712</v>
      </c>
      <c r="C651" s="1" t="s">
        <v>772</v>
      </c>
      <c r="D651" s="1" t="s">
        <v>773</v>
      </c>
      <c r="E651" s="1" t="s">
        <v>793</v>
      </c>
      <c r="F651" s="1" t="s">
        <v>213</v>
      </c>
      <c r="G651" s="8" t="s">
        <v>0</v>
      </c>
      <c r="H651" s="1">
        <v>30</v>
      </c>
      <c r="I651" s="10">
        <f>detail_avancement!B651</f>
        <v>0</v>
      </c>
      <c r="J651" s="10">
        <f t="shared" si="0"/>
        <v>30</v>
      </c>
      <c r="K651" s="13">
        <f t="shared" si="1"/>
        <v>0</v>
      </c>
      <c r="L651" s="14">
        <f t="shared" si="2"/>
        <v>0</v>
      </c>
    </row>
    <row r="652" spans="1:12" ht="15.75" customHeight="1">
      <c r="A652" s="8">
        <v>651</v>
      </c>
      <c r="B652" s="8" t="s">
        <v>712</v>
      </c>
      <c r="C652" s="1" t="s">
        <v>772</v>
      </c>
      <c r="D652" s="1" t="s">
        <v>773</v>
      </c>
      <c r="E652" s="1" t="s">
        <v>767</v>
      </c>
      <c r="F652" s="1" t="s">
        <v>213</v>
      </c>
      <c r="G652" s="8" t="s">
        <v>0</v>
      </c>
      <c r="H652" s="1">
        <v>30</v>
      </c>
      <c r="I652" s="10">
        <f>detail_avancement!B652</f>
        <v>0</v>
      </c>
      <c r="J652" s="10">
        <f t="shared" si="0"/>
        <v>30</v>
      </c>
      <c r="K652" s="13">
        <f t="shared" si="1"/>
        <v>0</v>
      </c>
      <c r="L652" s="14">
        <f t="shared" si="2"/>
        <v>0</v>
      </c>
    </row>
    <row r="653" spans="1:12" ht="15.75" customHeight="1">
      <c r="A653" s="8">
        <v>652</v>
      </c>
      <c r="B653" s="8" t="s">
        <v>712</v>
      </c>
      <c r="C653" s="1" t="s">
        <v>772</v>
      </c>
      <c r="D653" s="1" t="s">
        <v>773</v>
      </c>
      <c r="E653" s="1" t="s">
        <v>794</v>
      </c>
      <c r="F653" s="1" t="s">
        <v>106</v>
      </c>
      <c r="G653" s="8" t="s">
        <v>0</v>
      </c>
      <c r="H653" s="1">
        <v>30</v>
      </c>
      <c r="I653" s="10">
        <f>detail_avancement!B653</f>
        <v>0</v>
      </c>
      <c r="J653" s="10">
        <f t="shared" si="0"/>
        <v>30</v>
      </c>
      <c r="K653" s="13">
        <f t="shared" si="1"/>
        <v>0</v>
      </c>
      <c r="L653" s="14">
        <f t="shared" si="2"/>
        <v>0</v>
      </c>
    </row>
    <row r="654" spans="1:12" ht="15.75" customHeight="1">
      <c r="A654" s="8">
        <v>653</v>
      </c>
      <c r="B654" s="8" t="s">
        <v>712</v>
      </c>
      <c r="C654" s="1" t="s">
        <v>772</v>
      </c>
      <c r="D654" s="1" t="s">
        <v>773</v>
      </c>
      <c r="E654" s="1" t="s">
        <v>795</v>
      </c>
      <c r="F654" s="1" t="s">
        <v>106</v>
      </c>
      <c r="G654" s="8" t="s">
        <v>0</v>
      </c>
      <c r="H654" s="1">
        <v>30</v>
      </c>
      <c r="I654" s="10">
        <f>detail_avancement!B654</f>
        <v>0</v>
      </c>
      <c r="J654" s="10">
        <f t="shared" si="0"/>
        <v>30</v>
      </c>
      <c r="K654" s="13">
        <f t="shared" si="1"/>
        <v>0</v>
      </c>
      <c r="L654" s="14">
        <f t="shared" si="2"/>
        <v>0</v>
      </c>
    </row>
    <row r="655" spans="1:12" ht="15.75" customHeight="1">
      <c r="A655" s="8">
        <v>654</v>
      </c>
      <c r="B655" s="8" t="s">
        <v>712</v>
      </c>
      <c r="C655" s="1" t="s">
        <v>772</v>
      </c>
      <c r="D655" s="1" t="s">
        <v>773</v>
      </c>
      <c r="E655" s="1" t="s">
        <v>796</v>
      </c>
      <c r="F655" s="1" t="s">
        <v>106</v>
      </c>
      <c r="G655" s="8" t="s">
        <v>0</v>
      </c>
      <c r="H655" s="1">
        <v>30</v>
      </c>
      <c r="I655" s="10">
        <f>detail_avancement!B655</f>
        <v>0</v>
      </c>
      <c r="J655" s="10">
        <f t="shared" si="0"/>
        <v>30</v>
      </c>
      <c r="K655" s="13">
        <f t="shared" si="1"/>
        <v>0</v>
      </c>
      <c r="L655" s="14">
        <f t="shared" si="2"/>
        <v>0</v>
      </c>
    </row>
    <row r="656" spans="1:12" ht="15.75" customHeight="1">
      <c r="A656" s="8">
        <v>655</v>
      </c>
      <c r="B656" s="8" t="s">
        <v>712</v>
      </c>
      <c r="C656" s="1" t="s">
        <v>772</v>
      </c>
      <c r="D656" s="1" t="s">
        <v>773</v>
      </c>
      <c r="E656" s="1" t="s">
        <v>797</v>
      </c>
      <c r="F656" s="1" t="s">
        <v>106</v>
      </c>
      <c r="G656" s="8" t="s">
        <v>0</v>
      </c>
      <c r="H656" s="1">
        <v>30</v>
      </c>
      <c r="I656" s="10">
        <f>detail_avancement!B656</f>
        <v>0</v>
      </c>
      <c r="J656" s="10">
        <f t="shared" si="0"/>
        <v>30</v>
      </c>
      <c r="K656" s="13">
        <f t="shared" si="1"/>
        <v>0</v>
      </c>
      <c r="L656" s="14">
        <f t="shared" si="2"/>
        <v>0</v>
      </c>
    </row>
    <row r="657" spans="1:12" ht="15.75" customHeight="1">
      <c r="A657" s="8">
        <v>656</v>
      </c>
      <c r="B657" s="8" t="s">
        <v>712</v>
      </c>
      <c r="C657" s="1" t="s">
        <v>772</v>
      </c>
      <c r="D657" s="1" t="s">
        <v>773</v>
      </c>
      <c r="E657" s="1" t="s">
        <v>798</v>
      </c>
      <c r="F657" s="1" t="s">
        <v>106</v>
      </c>
      <c r="G657" s="8" t="s">
        <v>0</v>
      </c>
      <c r="H657" s="1">
        <v>30</v>
      </c>
      <c r="I657" s="10">
        <f>detail_avancement!B657</f>
        <v>0</v>
      </c>
      <c r="J657" s="10">
        <f t="shared" si="0"/>
        <v>30</v>
      </c>
      <c r="K657" s="13">
        <f t="shared" si="1"/>
        <v>0</v>
      </c>
      <c r="L657" s="14">
        <f t="shared" si="2"/>
        <v>0</v>
      </c>
    </row>
    <row r="658" spans="1:12" ht="15.75" customHeight="1">
      <c r="A658" s="8">
        <v>657</v>
      </c>
      <c r="B658" s="8" t="s">
        <v>712</v>
      </c>
      <c r="C658" s="1" t="s">
        <v>772</v>
      </c>
      <c r="D658" s="1" t="s">
        <v>773</v>
      </c>
      <c r="E658" s="1" t="s">
        <v>799</v>
      </c>
      <c r="F658" s="1" t="s">
        <v>62</v>
      </c>
      <c r="G658" s="8" t="s">
        <v>0</v>
      </c>
      <c r="H658" s="1">
        <v>30</v>
      </c>
      <c r="I658" s="10">
        <f>detail_avancement!B658</f>
        <v>0</v>
      </c>
      <c r="J658" s="10">
        <f t="shared" si="0"/>
        <v>30</v>
      </c>
      <c r="K658" s="13">
        <f t="shared" si="1"/>
        <v>0</v>
      </c>
      <c r="L658" s="14">
        <f t="shared" si="2"/>
        <v>0</v>
      </c>
    </row>
    <row r="659" spans="1:12" ht="15.75" customHeight="1">
      <c r="A659" s="8">
        <v>658</v>
      </c>
      <c r="B659" s="8" t="s">
        <v>712</v>
      </c>
      <c r="C659" s="1" t="s">
        <v>772</v>
      </c>
      <c r="D659" s="1" t="s">
        <v>773</v>
      </c>
      <c r="E659" s="1" t="s">
        <v>800</v>
      </c>
      <c r="F659" s="1" t="s">
        <v>62</v>
      </c>
      <c r="G659" s="8" t="s">
        <v>0</v>
      </c>
      <c r="H659" s="1">
        <v>30</v>
      </c>
      <c r="I659" s="10">
        <f>detail_avancement!B659</f>
        <v>0</v>
      </c>
      <c r="J659" s="10">
        <f t="shared" si="0"/>
        <v>30</v>
      </c>
      <c r="K659" s="13">
        <f t="shared" si="1"/>
        <v>0</v>
      </c>
      <c r="L659" s="14">
        <f t="shared" si="2"/>
        <v>0</v>
      </c>
    </row>
    <row r="660" spans="1:12" ht="15.75" customHeight="1">
      <c r="A660" s="8">
        <v>659</v>
      </c>
      <c r="B660" s="8" t="s">
        <v>801</v>
      </c>
      <c r="C660" s="1" t="s">
        <v>802</v>
      </c>
      <c r="D660" s="1" t="s">
        <v>194</v>
      </c>
      <c r="E660" s="1" t="s">
        <v>803</v>
      </c>
      <c r="F660" s="1" t="s">
        <v>804</v>
      </c>
      <c r="G660" s="8" t="s">
        <v>0</v>
      </c>
      <c r="H660" s="1">
        <v>30</v>
      </c>
      <c r="I660" s="10">
        <f>detail_avancement!B660</f>
        <v>0</v>
      </c>
      <c r="J660" s="10">
        <f t="shared" si="0"/>
        <v>30</v>
      </c>
      <c r="K660" s="13">
        <f t="shared" si="1"/>
        <v>0</v>
      </c>
      <c r="L660" s="14">
        <f t="shared" si="2"/>
        <v>0</v>
      </c>
    </row>
    <row r="661" spans="1:12" ht="15.75" customHeight="1">
      <c r="A661" s="8">
        <v>660</v>
      </c>
      <c r="B661" s="8" t="s">
        <v>801</v>
      </c>
      <c r="C661" s="1" t="s">
        <v>802</v>
      </c>
      <c r="D661" s="1" t="s">
        <v>194</v>
      </c>
      <c r="E661" s="1" t="s">
        <v>805</v>
      </c>
      <c r="F661" s="1" t="s">
        <v>804</v>
      </c>
      <c r="G661" s="8" t="s">
        <v>0</v>
      </c>
      <c r="H661" s="1">
        <v>30</v>
      </c>
      <c r="I661" s="10">
        <f>detail_avancement!B661</f>
        <v>0</v>
      </c>
      <c r="J661" s="10">
        <f t="shared" si="0"/>
        <v>30</v>
      </c>
      <c r="K661" s="13">
        <f t="shared" si="1"/>
        <v>0</v>
      </c>
      <c r="L661" s="14">
        <f t="shared" si="2"/>
        <v>0</v>
      </c>
    </row>
    <row r="662" spans="1:12" ht="15.75" customHeight="1">
      <c r="A662" s="8">
        <v>661</v>
      </c>
      <c r="B662" s="8" t="s">
        <v>801</v>
      </c>
      <c r="C662" s="1" t="s">
        <v>802</v>
      </c>
      <c r="D662" s="1" t="s">
        <v>194</v>
      </c>
      <c r="E662" s="1" t="s">
        <v>806</v>
      </c>
      <c r="F662" s="1" t="s">
        <v>804</v>
      </c>
      <c r="G662" s="8" t="s">
        <v>0</v>
      </c>
      <c r="H662" s="1">
        <v>30</v>
      </c>
      <c r="I662" s="10">
        <f>detail_avancement!B662</f>
        <v>0</v>
      </c>
      <c r="J662" s="10">
        <f t="shared" si="0"/>
        <v>30</v>
      </c>
      <c r="K662" s="13">
        <f t="shared" si="1"/>
        <v>0</v>
      </c>
      <c r="L662" s="14">
        <f t="shared" si="2"/>
        <v>0</v>
      </c>
    </row>
    <row r="663" spans="1:12" ht="15.75" customHeight="1">
      <c r="A663" s="8">
        <v>662</v>
      </c>
      <c r="B663" s="8" t="s">
        <v>801</v>
      </c>
      <c r="C663" s="1" t="s">
        <v>802</v>
      </c>
      <c r="D663" s="1" t="s">
        <v>194</v>
      </c>
      <c r="E663" s="1" t="s">
        <v>807</v>
      </c>
      <c r="F663" s="1" t="s">
        <v>804</v>
      </c>
      <c r="G663" s="8" t="s">
        <v>0</v>
      </c>
      <c r="H663" s="1">
        <v>30</v>
      </c>
      <c r="I663" s="10">
        <f>detail_avancement!B663</f>
        <v>0</v>
      </c>
      <c r="J663" s="10">
        <f t="shared" si="0"/>
        <v>30</v>
      </c>
      <c r="K663" s="13">
        <f t="shared" si="1"/>
        <v>0</v>
      </c>
      <c r="L663" s="14">
        <f t="shared" si="2"/>
        <v>0</v>
      </c>
    </row>
    <row r="664" spans="1:12" ht="15.75" customHeight="1">
      <c r="A664" s="8">
        <v>663</v>
      </c>
      <c r="B664" s="8" t="s">
        <v>801</v>
      </c>
      <c r="C664" s="1" t="s">
        <v>802</v>
      </c>
      <c r="D664" s="1" t="s">
        <v>194</v>
      </c>
      <c r="E664" s="1" t="s">
        <v>808</v>
      </c>
      <c r="F664" s="1" t="s">
        <v>804</v>
      </c>
      <c r="G664" s="8" t="s">
        <v>0</v>
      </c>
      <c r="H664" s="1">
        <v>30</v>
      </c>
      <c r="I664" s="10">
        <f>detail_avancement!B664</f>
        <v>0</v>
      </c>
      <c r="J664" s="10">
        <f t="shared" si="0"/>
        <v>30</v>
      </c>
      <c r="K664" s="13">
        <f t="shared" si="1"/>
        <v>0</v>
      </c>
      <c r="L664" s="14">
        <f t="shared" si="2"/>
        <v>0</v>
      </c>
    </row>
    <row r="665" spans="1:12" ht="15.75" customHeight="1">
      <c r="A665" s="8">
        <v>664</v>
      </c>
      <c r="B665" s="8" t="s">
        <v>801</v>
      </c>
      <c r="C665" s="1" t="s">
        <v>802</v>
      </c>
      <c r="D665" s="1" t="s">
        <v>194</v>
      </c>
      <c r="E665" s="1" t="s">
        <v>809</v>
      </c>
      <c r="F665" s="1" t="s">
        <v>804</v>
      </c>
      <c r="G665" s="8" t="s">
        <v>0</v>
      </c>
      <c r="H665" s="1">
        <v>30</v>
      </c>
      <c r="I665" s="10">
        <f>detail_avancement!B665</f>
        <v>0</v>
      </c>
      <c r="J665" s="10">
        <f t="shared" si="0"/>
        <v>30</v>
      </c>
      <c r="K665" s="13">
        <f t="shared" si="1"/>
        <v>0</v>
      </c>
      <c r="L665" s="14">
        <f t="shared" si="2"/>
        <v>0</v>
      </c>
    </row>
    <row r="666" spans="1:12" ht="15.75" customHeight="1">
      <c r="A666" s="8">
        <v>665</v>
      </c>
      <c r="B666" s="8" t="s">
        <v>801</v>
      </c>
      <c r="C666" s="1" t="s">
        <v>802</v>
      </c>
      <c r="D666" s="1" t="s">
        <v>194</v>
      </c>
      <c r="E666" s="1" t="s">
        <v>810</v>
      </c>
      <c r="F666" s="1" t="s">
        <v>804</v>
      </c>
      <c r="G666" s="8" t="s">
        <v>0</v>
      </c>
      <c r="H666" s="1">
        <v>30</v>
      </c>
      <c r="I666" s="10">
        <f>detail_avancement!B666</f>
        <v>0</v>
      </c>
      <c r="J666" s="10">
        <f t="shared" si="0"/>
        <v>30</v>
      </c>
      <c r="K666" s="13">
        <f t="shared" si="1"/>
        <v>0</v>
      </c>
      <c r="L666" s="14">
        <f t="shared" si="2"/>
        <v>0</v>
      </c>
    </row>
    <row r="667" spans="1:12" ht="15.75" customHeight="1">
      <c r="A667" s="8">
        <v>666</v>
      </c>
      <c r="B667" s="8" t="s">
        <v>801</v>
      </c>
      <c r="C667" s="1" t="s">
        <v>802</v>
      </c>
      <c r="D667" s="1" t="s">
        <v>194</v>
      </c>
      <c r="E667" s="1" t="s">
        <v>811</v>
      </c>
      <c r="F667" s="1" t="s">
        <v>804</v>
      </c>
      <c r="G667" s="8" t="s">
        <v>0</v>
      </c>
      <c r="H667" s="1">
        <v>30</v>
      </c>
      <c r="I667" s="10">
        <f>detail_avancement!B667</f>
        <v>0</v>
      </c>
      <c r="J667" s="10">
        <f t="shared" si="0"/>
        <v>30</v>
      </c>
      <c r="K667" s="13">
        <f t="shared" si="1"/>
        <v>0</v>
      </c>
      <c r="L667" s="14">
        <f t="shared" si="2"/>
        <v>0</v>
      </c>
    </row>
    <row r="668" spans="1:12" ht="15.75" customHeight="1">
      <c r="A668" s="8">
        <v>667</v>
      </c>
      <c r="B668" s="8" t="s">
        <v>801</v>
      </c>
      <c r="C668" s="1" t="s">
        <v>802</v>
      </c>
      <c r="D668" s="1" t="s">
        <v>194</v>
      </c>
      <c r="E668" s="1" t="s">
        <v>812</v>
      </c>
      <c r="F668" s="1" t="s">
        <v>106</v>
      </c>
      <c r="G668" s="8" t="s">
        <v>0</v>
      </c>
      <c r="H668" s="1">
        <v>15</v>
      </c>
      <c r="I668" s="10">
        <f>detail_avancement!B668</f>
        <v>0</v>
      </c>
      <c r="J668" s="10">
        <f t="shared" si="0"/>
        <v>15</v>
      </c>
      <c r="K668" s="13">
        <f t="shared" si="1"/>
        <v>0</v>
      </c>
      <c r="L668" s="14">
        <f t="shared" si="2"/>
        <v>0</v>
      </c>
    </row>
    <row r="669" spans="1:12" ht="15.75" customHeight="1">
      <c r="A669" s="8">
        <v>668</v>
      </c>
      <c r="B669" s="8" t="s">
        <v>801</v>
      </c>
      <c r="C669" s="1" t="s">
        <v>802</v>
      </c>
      <c r="D669" s="1" t="s">
        <v>194</v>
      </c>
      <c r="E669" s="1" t="s">
        <v>813</v>
      </c>
      <c r="F669" s="1" t="s">
        <v>106</v>
      </c>
      <c r="G669" s="8" t="s">
        <v>0</v>
      </c>
      <c r="H669" s="1">
        <v>15</v>
      </c>
      <c r="I669" s="10">
        <f>detail_avancement!B669</f>
        <v>0</v>
      </c>
      <c r="J669" s="10">
        <f t="shared" si="0"/>
        <v>15</v>
      </c>
      <c r="K669" s="13">
        <f t="shared" si="1"/>
        <v>0</v>
      </c>
      <c r="L669" s="14">
        <f t="shared" si="2"/>
        <v>0</v>
      </c>
    </row>
    <row r="670" spans="1:12" ht="15.75" customHeight="1">
      <c r="A670" s="8">
        <v>669</v>
      </c>
      <c r="B670" s="8" t="s">
        <v>801</v>
      </c>
      <c r="C670" s="1" t="s">
        <v>802</v>
      </c>
      <c r="D670" s="1" t="s">
        <v>194</v>
      </c>
      <c r="E670" s="1" t="s">
        <v>814</v>
      </c>
      <c r="F670" s="1" t="s">
        <v>106</v>
      </c>
      <c r="G670" s="8" t="s">
        <v>0</v>
      </c>
      <c r="H670" s="1">
        <v>30</v>
      </c>
      <c r="I670" s="10">
        <f>detail_avancement!B670</f>
        <v>0</v>
      </c>
      <c r="J670" s="10">
        <f t="shared" si="0"/>
        <v>30</v>
      </c>
      <c r="K670" s="13">
        <f t="shared" si="1"/>
        <v>0</v>
      </c>
      <c r="L670" s="14">
        <f t="shared" si="2"/>
        <v>0</v>
      </c>
    </row>
    <row r="671" spans="1:12" ht="15.75" customHeight="1">
      <c r="A671" s="8">
        <v>670</v>
      </c>
      <c r="B671" s="8" t="s">
        <v>801</v>
      </c>
      <c r="C671" s="1" t="s">
        <v>802</v>
      </c>
      <c r="D671" s="1" t="s">
        <v>815</v>
      </c>
      <c r="E671" s="1" t="s">
        <v>816</v>
      </c>
      <c r="F671" s="1" t="s">
        <v>804</v>
      </c>
      <c r="G671" s="8" t="s">
        <v>0</v>
      </c>
      <c r="H671" s="1">
        <v>30</v>
      </c>
      <c r="I671" s="10">
        <f>detail_avancement!B671</f>
        <v>0</v>
      </c>
      <c r="J671" s="10">
        <f t="shared" si="0"/>
        <v>30</v>
      </c>
      <c r="K671" s="13">
        <f t="shared" si="1"/>
        <v>0</v>
      </c>
      <c r="L671" s="14">
        <f t="shared" si="2"/>
        <v>0</v>
      </c>
    </row>
    <row r="672" spans="1:12" ht="15.75" customHeight="1">
      <c r="A672" s="8">
        <v>671</v>
      </c>
      <c r="B672" s="8" t="s">
        <v>801</v>
      </c>
      <c r="C672" s="1" t="s">
        <v>802</v>
      </c>
      <c r="D672" s="1" t="s">
        <v>815</v>
      </c>
      <c r="E672" s="1" t="s">
        <v>817</v>
      </c>
      <c r="F672" s="1" t="s">
        <v>804</v>
      </c>
      <c r="G672" s="8" t="s">
        <v>0</v>
      </c>
      <c r="H672" s="1">
        <v>30</v>
      </c>
      <c r="I672" s="10">
        <f>detail_avancement!B672</f>
        <v>0</v>
      </c>
      <c r="J672" s="10">
        <f t="shared" si="0"/>
        <v>30</v>
      </c>
      <c r="K672" s="13">
        <f t="shared" si="1"/>
        <v>0</v>
      </c>
      <c r="L672" s="14">
        <f t="shared" si="2"/>
        <v>0</v>
      </c>
    </row>
    <row r="673" spans="1:12" ht="15.75" customHeight="1">
      <c r="A673" s="8">
        <v>672</v>
      </c>
      <c r="B673" s="8" t="s">
        <v>801</v>
      </c>
      <c r="C673" s="1" t="s">
        <v>802</v>
      </c>
      <c r="D673" s="1" t="s">
        <v>815</v>
      </c>
      <c r="E673" s="1" t="s">
        <v>818</v>
      </c>
      <c r="F673" s="1" t="s">
        <v>804</v>
      </c>
      <c r="G673" s="8" t="s">
        <v>0</v>
      </c>
      <c r="H673" s="1">
        <v>30</v>
      </c>
      <c r="I673" s="10">
        <f>detail_avancement!B673</f>
        <v>0</v>
      </c>
      <c r="J673" s="10">
        <f t="shared" si="0"/>
        <v>30</v>
      </c>
      <c r="K673" s="13">
        <f t="shared" si="1"/>
        <v>0</v>
      </c>
      <c r="L673" s="14">
        <f t="shared" si="2"/>
        <v>0</v>
      </c>
    </row>
    <row r="674" spans="1:12" ht="15.75" customHeight="1">
      <c r="A674" s="8">
        <v>673</v>
      </c>
      <c r="B674" s="8" t="s">
        <v>801</v>
      </c>
      <c r="C674" s="1" t="s">
        <v>802</v>
      </c>
      <c r="D674" s="1" t="s">
        <v>815</v>
      </c>
      <c r="E674" s="1" t="s">
        <v>819</v>
      </c>
      <c r="F674" s="1" t="s">
        <v>804</v>
      </c>
      <c r="G674" s="8" t="s">
        <v>0</v>
      </c>
      <c r="H674" s="1">
        <v>30</v>
      </c>
      <c r="I674" s="10">
        <f>detail_avancement!B674</f>
        <v>0</v>
      </c>
      <c r="J674" s="10">
        <f t="shared" si="0"/>
        <v>30</v>
      </c>
      <c r="K674" s="13">
        <f t="shared" si="1"/>
        <v>0</v>
      </c>
      <c r="L674" s="14">
        <f t="shared" si="2"/>
        <v>0</v>
      </c>
    </row>
    <row r="675" spans="1:12" ht="15.75" customHeight="1">
      <c r="A675" s="8">
        <v>674</v>
      </c>
      <c r="B675" s="8" t="s">
        <v>801</v>
      </c>
      <c r="C675" s="1" t="s">
        <v>802</v>
      </c>
      <c r="D675" s="1" t="s">
        <v>815</v>
      </c>
      <c r="E675" s="1" t="s">
        <v>820</v>
      </c>
      <c r="F675" s="1" t="s">
        <v>804</v>
      </c>
      <c r="G675" s="8" t="s">
        <v>0</v>
      </c>
      <c r="H675" s="1">
        <v>30</v>
      </c>
      <c r="I675" s="10">
        <f>detail_avancement!B675</f>
        <v>0</v>
      </c>
      <c r="J675" s="10">
        <f t="shared" si="0"/>
        <v>30</v>
      </c>
      <c r="K675" s="13">
        <f t="shared" si="1"/>
        <v>0</v>
      </c>
      <c r="L675" s="14">
        <f t="shared" si="2"/>
        <v>0</v>
      </c>
    </row>
    <row r="676" spans="1:12" ht="15.75" customHeight="1">
      <c r="A676" s="8">
        <v>675</v>
      </c>
      <c r="B676" s="8" t="s">
        <v>801</v>
      </c>
      <c r="C676" s="1" t="s">
        <v>802</v>
      </c>
      <c r="D676" s="1" t="s">
        <v>815</v>
      </c>
      <c r="E676" s="1" t="s">
        <v>821</v>
      </c>
      <c r="F676" s="1" t="s">
        <v>804</v>
      </c>
      <c r="G676" s="8" t="s">
        <v>0</v>
      </c>
      <c r="H676" s="1">
        <v>30</v>
      </c>
      <c r="I676" s="10">
        <f>detail_avancement!B676</f>
        <v>0</v>
      </c>
      <c r="J676" s="10">
        <f t="shared" si="0"/>
        <v>30</v>
      </c>
      <c r="K676" s="13">
        <f t="shared" si="1"/>
        <v>0</v>
      </c>
      <c r="L676" s="14">
        <f t="shared" si="2"/>
        <v>0</v>
      </c>
    </row>
    <row r="677" spans="1:12" ht="15.75" customHeight="1">
      <c r="A677" s="8">
        <v>676</v>
      </c>
      <c r="B677" s="8" t="s">
        <v>801</v>
      </c>
      <c r="C677" s="1" t="s">
        <v>802</v>
      </c>
      <c r="D677" s="1" t="s">
        <v>815</v>
      </c>
      <c r="E677" s="1" t="s">
        <v>822</v>
      </c>
      <c r="F677" s="1" t="s">
        <v>106</v>
      </c>
      <c r="G677" s="8" t="s">
        <v>0</v>
      </c>
      <c r="H677" s="1">
        <v>30</v>
      </c>
      <c r="I677" s="10">
        <f>detail_avancement!B677</f>
        <v>0</v>
      </c>
      <c r="J677" s="10">
        <f t="shared" si="0"/>
        <v>30</v>
      </c>
      <c r="K677" s="13">
        <f t="shared" si="1"/>
        <v>0</v>
      </c>
      <c r="L677" s="14">
        <f t="shared" si="2"/>
        <v>0</v>
      </c>
    </row>
    <row r="678" spans="1:12" ht="15.75" customHeight="1">
      <c r="A678" s="8">
        <v>677</v>
      </c>
      <c r="B678" s="8" t="s">
        <v>801</v>
      </c>
      <c r="C678" s="1" t="s">
        <v>802</v>
      </c>
      <c r="D678" s="1" t="s">
        <v>815</v>
      </c>
      <c r="E678" s="1" t="s">
        <v>823</v>
      </c>
      <c r="F678" s="1" t="s">
        <v>106</v>
      </c>
      <c r="G678" s="8" t="s">
        <v>0</v>
      </c>
      <c r="H678" s="1">
        <v>30</v>
      </c>
      <c r="I678" s="10">
        <f>detail_avancement!B678</f>
        <v>0</v>
      </c>
      <c r="J678" s="10">
        <f t="shared" si="0"/>
        <v>30</v>
      </c>
      <c r="K678" s="13">
        <f t="shared" si="1"/>
        <v>0</v>
      </c>
      <c r="L678" s="14">
        <f t="shared" si="2"/>
        <v>0</v>
      </c>
    </row>
    <row r="679" spans="1:12" ht="15.75" customHeight="1">
      <c r="A679" s="8">
        <v>678</v>
      </c>
      <c r="B679" s="8" t="s">
        <v>801</v>
      </c>
      <c r="C679" s="1" t="s">
        <v>802</v>
      </c>
      <c r="D679" s="1" t="s">
        <v>815</v>
      </c>
      <c r="E679" s="1" t="s">
        <v>824</v>
      </c>
      <c r="F679" s="1" t="s">
        <v>106</v>
      </c>
      <c r="G679" s="8" t="s">
        <v>0</v>
      </c>
      <c r="H679" s="1">
        <v>30</v>
      </c>
      <c r="I679" s="10">
        <f>detail_avancement!B679</f>
        <v>0</v>
      </c>
      <c r="J679" s="10">
        <f t="shared" si="0"/>
        <v>30</v>
      </c>
      <c r="K679" s="13">
        <f t="shared" si="1"/>
        <v>0</v>
      </c>
      <c r="L679" s="14">
        <f t="shared" si="2"/>
        <v>0</v>
      </c>
    </row>
    <row r="680" spans="1:12" ht="15.75" customHeight="1">
      <c r="A680" s="8">
        <v>679</v>
      </c>
      <c r="B680" s="8" t="s">
        <v>801</v>
      </c>
      <c r="C680" s="1" t="s">
        <v>802</v>
      </c>
      <c r="D680" s="1" t="s">
        <v>815</v>
      </c>
      <c r="E680" s="1" t="s">
        <v>825</v>
      </c>
      <c r="F680" s="1" t="s">
        <v>106</v>
      </c>
      <c r="G680" s="8" t="s">
        <v>0</v>
      </c>
      <c r="H680" s="1">
        <v>30</v>
      </c>
      <c r="I680" s="10">
        <f>detail_avancement!B680</f>
        <v>0</v>
      </c>
      <c r="J680" s="10">
        <f t="shared" si="0"/>
        <v>30</v>
      </c>
      <c r="K680" s="13">
        <f t="shared" si="1"/>
        <v>0</v>
      </c>
      <c r="L680" s="14">
        <f t="shared" si="2"/>
        <v>0</v>
      </c>
    </row>
    <row r="681" spans="1:12" ht="15.75" customHeight="1">
      <c r="A681" s="8">
        <v>680</v>
      </c>
      <c r="B681" s="8" t="s">
        <v>801</v>
      </c>
      <c r="C681" s="1" t="s">
        <v>826</v>
      </c>
      <c r="D681" s="1" t="s">
        <v>827</v>
      </c>
      <c r="E681" s="1" t="s">
        <v>828</v>
      </c>
      <c r="F681" s="1" t="s">
        <v>24</v>
      </c>
      <c r="G681" s="8" t="s">
        <v>0</v>
      </c>
      <c r="H681" s="1">
        <v>30</v>
      </c>
      <c r="I681" s="10">
        <f>detail_avancement!B681</f>
        <v>0</v>
      </c>
      <c r="J681" s="10">
        <f t="shared" si="0"/>
        <v>30</v>
      </c>
      <c r="K681" s="13">
        <f t="shared" si="1"/>
        <v>0</v>
      </c>
      <c r="L681" s="14">
        <f t="shared" si="2"/>
        <v>0</v>
      </c>
    </row>
    <row r="682" spans="1:12" ht="15.75" customHeight="1">
      <c r="A682" s="8">
        <v>681</v>
      </c>
      <c r="B682" s="8" t="s">
        <v>801</v>
      </c>
      <c r="C682" s="1" t="s">
        <v>826</v>
      </c>
      <c r="D682" s="1" t="s">
        <v>827</v>
      </c>
      <c r="E682" s="1" t="s">
        <v>829</v>
      </c>
      <c r="F682" s="1" t="s">
        <v>24</v>
      </c>
      <c r="G682" s="8" t="s">
        <v>0</v>
      </c>
      <c r="H682" s="1">
        <v>30</v>
      </c>
      <c r="I682" s="10">
        <f>detail_avancement!B682</f>
        <v>0</v>
      </c>
      <c r="J682" s="10">
        <f t="shared" si="0"/>
        <v>30</v>
      </c>
      <c r="K682" s="13">
        <f t="shared" si="1"/>
        <v>0</v>
      </c>
      <c r="L682" s="14">
        <f t="shared" si="2"/>
        <v>0</v>
      </c>
    </row>
    <row r="683" spans="1:12" ht="15.75" customHeight="1">
      <c r="A683" s="8">
        <v>682</v>
      </c>
      <c r="B683" s="8" t="s">
        <v>801</v>
      </c>
      <c r="C683" s="1" t="s">
        <v>826</v>
      </c>
      <c r="D683" s="1" t="s">
        <v>827</v>
      </c>
      <c r="E683" s="1" t="s">
        <v>830</v>
      </c>
      <c r="F683" s="1" t="s">
        <v>24</v>
      </c>
      <c r="G683" s="8" t="s">
        <v>0</v>
      </c>
      <c r="H683" s="1">
        <v>30</v>
      </c>
      <c r="I683" s="10">
        <f>detail_avancement!B683</f>
        <v>0</v>
      </c>
      <c r="J683" s="10">
        <f t="shared" si="0"/>
        <v>30</v>
      </c>
      <c r="K683" s="13">
        <f t="shared" si="1"/>
        <v>0</v>
      </c>
      <c r="L683" s="14">
        <f t="shared" si="2"/>
        <v>0</v>
      </c>
    </row>
    <row r="684" spans="1:12" ht="15.75" customHeight="1">
      <c r="A684" s="8">
        <v>683</v>
      </c>
      <c r="B684" s="8" t="s">
        <v>801</v>
      </c>
      <c r="C684" s="1" t="s">
        <v>826</v>
      </c>
      <c r="D684" s="1" t="s">
        <v>827</v>
      </c>
      <c r="E684" s="1" t="s">
        <v>831</v>
      </c>
      <c r="F684" s="1" t="s">
        <v>24</v>
      </c>
      <c r="G684" s="8" t="s">
        <v>0</v>
      </c>
      <c r="H684" s="1">
        <v>30</v>
      </c>
      <c r="I684" s="10">
        <f>detail_avancement!B684</f>
        <v>0</v>
      </c>
      <c r="J684" s="10">
        <f t="shared" si="0"/>
        <v>30</v>
      </c>
      <c r="K684" s="13">
        <f t="shared" si="1"/>
        <v>0</v>
      </c>
      <c r="L684" s="14">
        <f t="shared" si="2"/>
        <v>0</v>
      </c>
    </row>
    <row r="685" spans="1:12" ht="15.75" customHeight="1">
      <c r="A685" s="8">
        <v>684</v>
      </c>
      <c r="B685" s="8" t="s">
        <v>801</v>
      </c>
      <c r="C685" s="1" t="s">
        <v>826</v>
      </c>
      <c r="D685" s="1" t="s">
        <v>827</v>
      </c>
      <c r="E685" s="1" t="s">
        <v>832</v>
      </c>
      <c r="F685" s="1" t="s">
        <v>24</v>
      </c>
      <c r="G685" s="8" t="s">
        <v>0</v>
      </c>
      <c r="H685" s="1">
        <v>30</v>
      </c>
      <c r="I685" s="10">
        <f>detail_avancement!B685</f>
        <v>0</v>
      </c>
      <c r="J685" s="10">
        <f t="shared" si="0"/>
        <v>30</v>
      </c>
      <c r="K685" s="13">
        <f t="shared" si="1"/>
        <v>0</v>
      </c>
      <c r="L685" s="14">
        <f t="shared" si="2"/>
        <v>0</v>
      </c>
    </row>
    <row r="686" spans="1:12" ht="15.75" customHeight="1">
      <c r="A686" s="8">
        <v>685</v>
      </c>
      <c r="B686" s="8" t="s">
        <v>801</v>
      </c>
      <c r="C686" s="1" t="s">
        <v>826</v>
      </c>
      <c r="D686" s="1" t="s">
        <v>827</v>
      </c>
      <c r="E686" s="1" t="s">
        <v>833</v>
      </c>
      <c r="F686" s="1" t="s">
        <v>24</v>
      </c>
      <c r="G686" s="8" t="s">
        <v>0</v>
      </c>
      <c r="H686" s="1">
        <v>30</v>
      </c>
      <c r="I686" s="10">
        <f>detail_avancement!B686</f>
        <v>0</v>
      </c>
      <c r="J686" s="10">
        <f t="shared" si="0"/>
        <v>30</v>
      </c>
      <c r="K686" s="13">
        <f t="shared" si="1"/>
        <v>0</v>
      </c>
      <c r="L686" s="14">
        <f t="shared" si="2"/>
        <v>0</v>
      </c>
    </row>
    <row r="687" spans="1:12" ht="15.75" customHeight="1">
      <c r="A687" s="8">
        <v>686</v>
      </c>
      <c r="B687" s="8" t="s">
        <v>801</v>
      </c>
      <c r="C687" s="1" t="s">
        <v>826</v>
      </c>
      <c r="D687" s="1" t="s">
        <v>827</v>
      </c>
      <c r="E687" s="1" t="s">
        <v>834</v>
      </c>
      <c r="F687" s="1" t="s">
        <v>24</v>
      </c>
      <c r="G687" s="8" t="s">
        <v>0</v>
      </c>
      <c r="H687" s="1">
        <v>30</v>
      </c>
      <c r="I687" s="10">
        <f>detail_avancement!B687</f>
        <v>0</v>
      </c>
      <c r="J687" s="10">
        <f t="shared" si="0"/>
        <v>30</v>
      </c>
      <c r="K687" s="13">
        <f t="shared" si="1"/>
        <v>0</v>
      </c>
      <c r="L687" s="14">
        <f t="shared" si="2"/>
        <v>0</v>
      </c>
    </row>
    <row r="688" spans="1:12" ht="15.75" customHeight="1">
      <c r="A688" s="8">
        <v>687</v>
      </c>
      <c r="B688" s="8" t="s">
        <v>801</v>
      </c>
      <c r="C688" s="1" t="s">
        <v>826</v>
      </c>
      <c r="D688" s="1" t="s">
        <v>827</v>
      </c>
      <c r="E688" s="1" t="s">
        <v>835</v>
      </c>
      <c r="F688" s="1" t="s">
        <v>24</v>
      </c>
      <c r="G688" s="8" t="s">
        <v>0</v>
      </c>
      <c r="H688" s="1">
        <v>30</v>
      </c>
      <c r="I688" s="10">
        <f>detail_avancement!B688</f>
        <v>0</v>
      </c>
      <c r="J688" s="10">
        <f t="shared" si="0"/>
        <v>30</v>
      </c>
      <c r="K688" s="13">
        <f t="shared" si="1"/>
        <v>0</v>
      </c>
      <c r="L688" s="14">
        <f t="shared" si="2"/>
        <v>0</v>
      </c>
    </row>
    <row r="689" spans="1:12" ht="15.75" customHeight="1">
      <c r="A689" s="8">
        <v>688</v>
      </c>
      <c r="B689" s="8" t="s">
        <v>801</v>
      </c>
      <c r="C689" s="1" t="s">
        <v>826</v>
      </c>
      <c r="D689" s="1" t="s">
        <v>827</v>
      </c>
      <c r="E689" s="1" t="s">
        <v>836</v>
      </c>
      <c r="F689" s="1" t="s">
        <v>24</v>
      </c>
      <c r="G689" s="8" t="s">
        <v>0</v>
      </c>
      <c r="H689" s="1">
        <v>30</v>
      </c>
      <c r="I689" s="10">
        <f>detail_avancement!B689</f>
        <v>0</v>
      </c>
      <c r="J689" s="10">
        <f t="shared" si="0"/>
        <v>30</v>
      </c>
      <c r="K689" s="13">
        <f t="shared" si="1"/>
        <v>0</v>
      </c>
      <c r="L689" s="14">
        <f t="shared" si="2"/>
        <v>0</v>
      </c>
    </row>
    <row r="690" spans="1:12" ht="15.75" customHeight="1">
      <c r="A690" s="8">
        <v>689</v>
      </c>
      <c r="B690" s="8" t="s">
        <v>801</v>
      </c>
      <c r="C690" s="1" t="s">
        <v>826</v>
      </c>
      <c r="D690" s="1" t="s">
        <v>827</v>
      </c>
      <c r="E690" s="1" t="s">
        <v>837</v>
      </c>
      <c r="F690" s="1" t="s">
        <v>24</v>
      </c>
      <c r="G690" s="8" t="s">
        <v>0</v>
      </c>
      <c r="H690" s="1">
        <v>30</v>
      </c>
      <c r="I690" s="10">
        <f>detail_avancement!B690</f>
        <v>0</v>
      </c>
      <c r="J690" s="10">
        <f t="shared" si="0"/>
        <v>30</v>
      </c>
      <c r="K690" s="13">
        <f t="shared" si="1"/>
        <v>0</v>
      </c>
      <c r="L690" s="14">
        <f t="shared" si="2"/>
        <v>0</v>
      </c>
    </row>
    <row r="691" spans="1:12" ht="15.75" customHeight="1">
      <c r="A691" s="8">
        <v>690</v>
      </c>
      <c r="B691" s="8" t="s">
        <v>801</v>
      </c>
      <c r="C691" s="1" t="s">
        <v>838</v>
      </c>
      <c r="D691" s="1" t="s">
        <v>839</v>
      </c>
      <c r="E691" s="1" t="s">
        <v>840</v>
      </c>
      <c r="F691" s="1" t="s">
        <v>62</v>
      </c>
      <c r="G691" s="8" t="s">
        <v>0</v>
      </c>
      <c r="H691" s="1">
        <v>15</v>
      </c>
      <c r="I691" s="10">
        <f>detail_avancement!B691</f>
        <v>0</v>
      </c>
      <c r="J691" s="10">
        <f t="shared" si="0"/>
        <v>15</v>
      </c>
      <c r="K691" s="13">
        <f t="shared" si="1"/>
        <v>0</v>
      </c>
      <c r="L691" s="14">
        <f t="shared" si="2"/>
        <v>0</v>
      </c>
    </row>
    <row r="692" spans="1:12" ht="15.75" customHeight="1">
      <c r="A692" s="8">
        <v>691</v>
      </c>
      <c r="B692" s="8" t="s">
        <v>801</v>
      </c>
      <c r="C692" s="1" t="s">
        <v>838</v>
      </c>
      <c r="D692" s="1" t="s">
        <v>839</v>
      </c>
      <c r="E692" s="1" t="s">
        <v>841</v>
      </c>
      <c r="F692" s="1" t="s">
        <v>62</v>
      </c>
      <c r="G692" s="8" t="s">
        <v>0</v>
      </c>
      <c r="H692" s="1">
        <v>30</v>
      </c>
      <c r="I692" s="10">
        <f>detail_avancement!B692</f>
        <v>0</v>
      </c>
      <c r="J692" s="10">
        <f t="shared" si="0"/>
        <v>30</v>
      </c>
      <c r="K692" s="13">
        <f t="shared" si="1"/>
        <v>0</v>
      </c>
      <c r="L692" s="14">
        <f t="shared" si="2"/>
        <v>0</v>
      </c>
    </row>
    <row r="693" spans="1:12" ht="15.75" customHeight="1">
      <c r="A693" s="8">
        <v>692</v>
      </c>
      <c r="B693" s="8" t="s">
        <v>801</v>
      </c>
      <c r="C693" s="1" t="s">
        <v>838</v>
      </c>
      <c r="D693" s="1" t="s">
        <v>839</v>
      </c>
      <c r="E693" s="1" t="s">
        <v>842</v>
      </c>
      <c r="F693" s="1" t="s">
        <v>62</v>
      </c>
      <c r="G693" s="8" t="s">
        <v>0</v>
      </c>
      <c r="H693" s="1">
        <v>15</v>
      </c>
      <c r="I693" s="10">
        <f>detail_avancement!B693</f>
        <v>0</v>
      </c>
      <c r="J693" s="10">
        <f t="shared" si="0"/>
        <v>15</v>
      </c>
      <c r="K693" s="13">
        <f t="shared" si="1"/>
        <v>0</v>
      </c>
      <c r="L693" s="14">
        <f t="shared" si="2"/>
        <v>0</v>
      </c>
    </row>
    <row r="694" spans="1:12" ht="15.75" customHeight="1">
      <c r="A694" s="8">
        <v>693</v>
      </c>
      <c r="B694" s="8" t="s">
        <v>801</v>
      </c>
      <c r="C694" s="1" t="s">
        <v>838</v>
      </c>
      <c r="D694" s="1" t="s">
        <v>843</v>
      </c>
      <c r="E694" s="1" t="s">
        <v>844</v>
      </c>
      <c r="F694" s="1" t="s">
        <v>24</v>
      </c>
      <c r="G694" s="8" t="s">
        <v>0</v>
      </c>
      <c r="H694" s="1">
        <v>30</v>
      </c>
      <c r="I694" s="10">
        <f>detail_avancement!B694</f>
        <v>0</v>
      </c>
      <c r="J694" s="10">
        <f t="shared" si="0"/>
        <v>30</v>
      </c>
      <c r="K694" s="13">
        <f t="shared" si="1"/>
        <v>0</v>
      </c>
      <c r="L694" s="14">
        <f t="shared" si="2"/>
        <v>0</v>
      </c>
    </row>
    <row r="695" spans="1:12" ht="15.75" customHeight="1">
      <c r="A695" s="8">
        <v>694</v>
      </c>
      <c r="B695" s="8" t="s">
        <v>801</v>
      </c>
      <c r="C695" s="1" t="s">
        <v>838</v>
      </c>
      <c r="D695" s="1" t="s">
        <v>843</v>
      </c>
      <c r="E695" s="1" t="s">
        <v>845</v>
      </c>
      <c r="F695" s="1" t="s">
        <v>24</v>
      </c>
      <c r="G695" s="8" t="s">
        <v>0</v>
      </c>
      <c r="H695" s="1">
        <v>30</v>
      </c>
      <c r="I695" s="10">
        <f>detail_avancement!B695</f>
        <v>0</v>
      </c>
      <c r="J695" s="10">
        <f t="shared" si="0"/>
        <v>30</v>
      </c>
      <c r="K695" s="13">
        <f t="shared" si="1"/>
        <v>0</v>
      </c>
      <c r="L695" s="14">
        <f t="shared" si="2"/>
        <v>0</v>
      </c>
    </row>
    <row r="696" spans="1:12" ht="15.75" customHeight="1">
      <c r="A696" s="8">
        <v>695</v>
      </c>
      <c r="B696" s="8" t="s">
        <v>801</v>
      </c>
      <c r="C696" s="1" t="s">
        <v>838</v>
      </c>
      <c r="D696" s="1" t="s">
        <v>843</v>
      </c>
      <c r="E696" s="1" t="s">
        <v>846</v>
      </c>
      <c r="F696" s="1" t="s">
        <v>24</v>
      </c>
      <c r="G696" s="8" t="s">
        <v>0</v>
      </c>
      <c r="H696" s="1">
        <v>30</v>
      </c>
      <c r="I696" s="10">
        <f>detail_avancement!B696</f>
        <v>0</v>
      </c>
      <c r="J696" s="10">
        <f t="shared" si="0"/>
        <v>30</v>
      </c>
      <c r="K696" s="13">
        <f t="shared" si="1"/>
        <v>0</v>
      </c>
      <c r="L696" s="14">
        <f t="shared" si="2"/>
        <v>0</v>
      </c>
    </row>
    <row r="697" spans="1:12" ht="15.75" customHeight="1">
      <c r="A697" s="8">
        <v>696</v>
      </c>
      <c r="B697" s="8" t="s">
        <v>801</v>
      </c>
      <c r="C697" s="1" t="s">
        <v>838</v>
      </c>
      <c r="D697" s="1" t="s">
        <v>843</v>
      </c>
      <c r="E697" s="1" t="s">
        <v>847</v>
      </c>
      <c r="F697" s="1" t="s">
        <v>24</v>
      </c>
      <c r="G697" s="8" t="s">
        <v>0</v>
      </c>
      <c r="H697" s="1">
        <v>30</v>
      </c>
      <c r="I697" s="10">
        <f>detail_avancement!B697</f>
        <v>0</v>
      </c>
      <c r="J697" s="10">
        <f t="shared" si="0"/>
        <v>30</v>
      </c>
      <c r="K697" s="13">
        <f t="shared" si="1"/>
        <v>0</v>
      </c>
      <c r="L697" s="14">
        <f t="shared" si="2"/>
        <v>0</v>
      </c>
    </row>
    <row r="698" spans="1:12" ht="15.75" customHeight="1">
      <c r="A698" s="8">
        <v>697</v>
      </c>
      <c r="B698" s="8" t="s">
        <v>801</v>
      </c>
      <c r="C698" s="1" t="s">
        <v>838</v>
      </c>
      <c r="D698" s="1" t="s">
        <v>843</v>
      </c>
      <c r="E698" s="1" t="s">
        <v>848</v>
      </c>
      <c r="F698" s="1" t="s">
        <v>24</v>
      </c>
      <c r="G698" s="8" t="s">
        <v>0</v>
      </c>
      <c r="H698" s="1">
        <v>30</v>
      </c>
      <c r="I698" s="10">
        <f>detail_avancement!B698</f>
        <v>0</v>
      </c>
      <c r="J698" s="10">
        <f t="shared" si="0"/>
        <v>30</v>
      </c>
      <c r="K698" s="13">
        <f t="shared" si="1"/>
        <v>0</v>
      </c>
      <c r="L698" s="14">
        <f t="shared" si="2"/>
        <v>0</v>
      </c>
    </row>
    <row r="699" spans="1:12" ht="15.75" customHeight="1">
      <c r="A699" s="8">
        <v>698</v>
      </c>
      <c r="B699" s="8" t="s">
        <v>801</v>
      </c>
      <c r="C699" s="1" t="s">
        <v>838</v>
      </c>
      <c r="D699" s="1" t="s">
        <v>843</v>
      </c>
      <c r="E699" s="1" t="s">
        <v>849</v>
      </c>
      <c r="F699" s="1" t="s">
        <v>24</v>
      </c>
      <c r="G699" s="8" t="s">
        <v>0</v>
      </c>
      <c r="H699" s="1">
        <v>30</v>
      </c>
      <c r="I699" s="10">
        <f>detail_avancement!B699</f>
        <v>0</v>
      </c>
      <c r="J699" s="10">
        <f t="shared" si="0"/>
        <v>30</v>
      </c>
      <c r="K699" s="13">
        <f t="shared" si="1"/>
        <v>0</v>
      </c>
      <c r="L699" s="14">
        <f t="shared" si="2"/>
        <v>0</v>
      </c>
    </row>
    <row r="700" spans="1:12" ht="15.75" customHeight="1">
      <c r="A700" s="8">
        <v>699</v>
      </c>
      <c r="B700" s="8" t="s">
        <v>801</v>
      </c>
      <c r="C700" s="1" t="s">
        <v>838</v>
      </c>
      <c r="D700" s="1" t="s">
        <v>843</v>
      </c>
      <c r="E700" s="1" t="s">
        <v>850</v>
      </c>
      <c r="F700" s="1" t="s">
        <v>24</v>
      </c>
      <c r="G700" s="8" t="s">
        <v>0</v>
      </c>
      <c r="H700" s="1">
        <v>30</v>
      </c>
      <c r="I700" s="10">
        <f>detail_avancement!B700</f>
        <v>0</v>
      </c>
      <c r="J700" s="10">
        <f t="shared" si="0"/>
        <v>30</v>
      </c>
      <c r="K700" s="13">
        <f t="shared" si="1"/>
        <v>0</v>
      </c>
      <c r="L700" s="14">
        <f t="shared" si="2"/>
        <v>0</v>
      </c>
    </row>
    <row r="701" spans="1:12" ht="15.75" customHeight="1">
      <c r="A701" s="8">
        <v>700</v>
      </c>
      <c r="B701" s="8" t="s">
        <v>801</v>
      </c>
      <c r="C701" s="1" t="s">
        <v>838</v>
      </c>
      <c r="D701" s="1" t="s">
        <v>843</v>
      </c>
      <c r="E701" s="1" t="s">
        <v>851</v>
      </c>
      <c r="F701" s="1" t="s">
        <v>24</v>
      </c>
      <c r="G701" s="8" t="s">
        <v>0</v>
      </c>
      <c r="H701" s="1">
        <v>30</v>
      </c>
      <c r="I701" s="10">
        <f>detail_avancement!B701</f>
        <v>0</v>
      </c>
      <c r="J701" s="10">
        <f t="shared" si="0"/>
        <v>30</v>
      </c>
      <c r="K701" s="13">
        <f t="shared" si="1"/>
        <v>0</v>
      </c>
      <c r="L701" s="14">
        <f t="shared" si="2"/>
        <v>0</v>
      </c>
    </row>
    <row r="702" spans="1:12" ht="15.75" customHeight="1">
      <c r="A702" s="8">
        <v>701</v>
      </c>
      <c r="B702" s="8" t="s">
        <v>801</v>
      </c>
      <c r="C702" s="1" t="s">
        <v>838</v>
      </c>
      <c r="D702" s="1" t="s">
        <v>843</v>
      </c>
      <c r="E702" s="1" t="s">
        <v>852</v>
      </c>
      <c r="F702" s="1" t="s">
        <v>24</v>
      </c>
      <c r="G702" s="8" t="s">
        <v>0</v>
      </c>
      <c r="H702" s="1">
        <v>30</v>
      </c>
      <c r="I702" s="10">
        <f>detail_avancement!B702</f>
        <v>0</v>
      </c>
      <c r="J702" s="10">
        <f t="shared" si="0"/>
        <v>30</v>
      </c>
      <c r="K702" s="13">
        <f t="shared" si="1"/>
        <v>0</v>
      </c>
      <c r="L702" s="14">
        <f t="shared" si="2"/>
        <v>0</v>
      </c>
    </row>
    <row r="703" spans="1:12" ht="15.75" customHeight="1">
      <c r="A703" s="8">
        <v>702</v>
      </c>
      <c r="B703" s="8" t="s">
        <v>801</v>
      </c>
      <c r="C703" s="1" t="s">
        <v>838</v>
      </c>
      <c r="D703" s="1" t="s">
        <v>843</v>
      </c>
      <c r="E703" s="1" t="s">
        <v>853</v>
      </c>
      <c r="F703" s="1" t="s">
        <v>24</v>
      </c>
      <c r="G703" s="8" t="s">
        <v>0</v>
      </c>
      <c r="H703" s="1">
        <v>30</v>
      </c>
      <c r="I703" s="10">
        <f>detail_avancement!B703</f>
        <v>0</v>
      </c>
      <c r="J703" s="10">
        <f t="shared" si="0"/>
        <v>30</v>
      </c>
      <c r="K703" s="13">
        <f t="shared" si="1"/>
        <v>0</v>
      </c>
      <c r="L703" s="14">
        <f t="shared" si="2"/>
        <v>0</v>
      </c>
    </row>
    <row r="704" spans="1:12" ht="15.75" customHeight="1">
      <c r="A704" s="8">
        <v>703</v>
      </c>
      <c r="B704" s="8" t="s">
        <v>801</v>
      </c>
      <c r="C704" s="1" t="s">
        <v>838</v>
      </c>
      <c r="D704" s="1" t="s">
        <v>843</v>
      </c>
      <c r="E704" s="1" t="s">
        <v>854</v>
      </c>
      <c r="F704" s="1" t="s">
        <v>62</v>
      </c>
      <c r="G704" s="8" t="s">
        <v>0</v>
      </c>
      <c r="H704" s="1">
        <v>30</v>
      </c>
      <c r="I704" s="10">
        <f>detail_avancement!B704</f>
        <v>0</v>
      </c>
      <c r="J704" s="10">
        <f t="shared" si="0"/>
        <v>30</v>
      </c>
      <c r="K704" s="13">
        <f t="shared" si="1"/>
        <v>0</v>
      </c>
      <c r="L704" s="14">
        <f t="shared" si="2"/>
        <v>0</v>
      </c>
    </row>
    <row r="705" spans="1:12" ht="15.75" customHeight="1">
      <c r="A705" s="8">
        <v>704</v>
      </c>
      <c r="B705" s="8" t="s">
        <v>801</v>
      </c>
      <c r="C705" s="1" t="s">
        <v>838</v>
      </c>
      <c r="D705" s="1" t="s">
        <v>843</v>
      </c>
      <c r="E705" s="1" t="s">
        <v>855</v>
      </c>
      <c r="F705" s="1" t="s">
        <v>62</v>
      </c>
      <c r="G705" s="8" t="s">
        <v>0</v>
      </c>
      <c r="H705" s="1">
        <v>30</v>
      </c>
      <c r="I705" s="10">
        <f>detail_avancement!B705</f>
        <v>0</v>
      </c>
      <c r="J705" s="10">
        <f t="shared" si="0"/>
        <v>30</v>
      </c>
      <c r="K705" s="13">
        <f t="shared" si="1"/>
        <v>0</v>
      </c>
      <c r="L705" s="14">
        <f t="shared" si="2"/>
        <v>0</v>
      </c>
    </row>
    <row r="706" spans="1:12" ht="15.75" customHeight="1">
      <c r="A706" s="8">
        <v>705</v>
      </c>
      <c r="B706" s="8" t="s">
        <v>801</v>
      </c>
      <c r="C706" s="1" t="s">
        <v>838</v>
      </c>
      <c r="D706" s="1" t="s">
        <v>843</v>
      </c>
      <c r="E706" s="1" t="s">
        <v>856</v>
      </c>
      <c r="F706" s="1" t="s">
        <v>62</v>
      </c>
      <c r="G706" s="8" t="s">
        <v>0</v>
      </c>
      <c r="H706" s="1">
        <v>30</v>
      </c>
      <c r="I706" s="10">
        <f>detail_avancement!B706</f>
        <v>0</v>
      </c>
      <c r="J706" s="10">
        <f t="shared" si="0"/>
        <v>30</v>
      </c>
      <c r="K706" s="13">
        <f t="shared" si="1"/>
        <v>0</v>
      </c>
      <c r="L706" s="14">
        <f t="shared" si="2"/>
        <v>0</v>
      </c>
    </row>
    <row r="707" spans="1:12" ht="15.75" customHeight="1">
      <c r="A707" s="8">
        <v>706</v>
      </c>
      <c r="B707" s="8" t="s">
        <v>801</v>
      </c>
      <c r="C707" s="1" t="s">
        <v>838</v>
      </c>
      <c r="D707" s="1" t="s">
        <v>843</v>
      </c>
      <c r="E707" s="1" t="s">
        <v>857</v>
      </c>
      <c r="F707" s="1" t="s">
        <v>62</v>
      </c>
      <c r="G707" s="8" t="s">
        <v>0</v>
      </c>
      <c r="H707" s="1">
        <v>30</v>
      </c>
      <c r="I707" s="10">
        <f>detail_avancement!B707</f>
        <v>0</v>
      </c>
      <c r="J707" s="10">
        <f t="shared" si="0"/>
        <v>30</v>
      </c>
      <c r="K707" s="13">
        <f t="shared" si="1"/>
        <v>0</v>
      </c>
      <c r="L707" s="14">
        <f t="shared" si="2"/>
        <v>0</v>
      </c>
    </row>
    <row r="708" spans="1:12" ht="15.75" customHeight="1">
      <c r="A708" s="8">
        <v>707</v>
      </c>
      <c r="B708" s="8" t="s">
        <v>801</v>
      </c>
      <c r="C708" s="1" t="s">
        <v>838</v>
      </c>
      <c r="D708" s="1" t="s">
        <v>839</v>
      </c>
      <c r="E708" s="1" t="s">
        <v>858</v>
      </c>
      <c r="F708" s="1" t="s">
        <v>62</v>
      </c>
      <c r="G708" s="8" t="s">
        <v>0</v>
      </c>
      <c r="H708" s="1">
        <v>30</v>
      </c>
      <c r="I708" s="10">
        <f>detail_avancement!B708</f>
        <v>0</v>
      </c>
      <c r="J708" s="10">
        <f t="shared" si="0"/>
        <v>30</v>
      </c>
      <c r="K708" s="13">
        <f t="shared" si="1"/>
        <v>0</v>
      </c>
      <c r="L708" s="14">
        <f t="shared" si="2"/>
        <v>0</v>
      </c>
    </row>
    <row r="709" spans="1:12" ht="15.75" customHeight="1">
      <c r="A709" s="8">
        <v>708</v>
      </c>
      <c r="B709" s="8" t="s">
        <v>801</v>
      </c>
      <c r="C709" s="1" t="s">
        <v>838</v>
      </c>
      <c r="D709" s="1" t="s">
        <v>839</v>
      </c>
      <c r="E709" s="1" t="s">
        <v>859</v>
      </c>
      <c r="F709" s="1" t="s">
        <v>62</v>
      </c>
      <c r="G709" s="8" t="s">
        <v>0</v>
      </c>
      <c r="H709" s="1">
        <v>30</v>
      </c>
      <c r="I709" s="10">
        <f>detail_avancement!B709</f>
        <v>0</v>
      </c>
      <c r="J709" s="10">
        <f t="shared" si="0"/>
        <v>30</v>
      </c>
      <c r="K709" s="13">
        <f t="shared" si="1"/>
        <v>0</v>
      </c>
      <c r="L709" s="14">
        <f t="shared" si="2"/>
        <v>0</v>
      </c>
    </row>
    <row r="710" spans="1:12" ht="15.75" customHeight="1">
      <c r="A710" s="8">
        <v>709</v>
      </c>
      <c r="B710" s="8" t="s">
        <v>860</v>
      </c>
      <c r="C710" s="1" t="s">
        <v>861</v>
      </c>
      <c r="D710" s="1" t="s">
        <v>862</v>
      </c>
      <c r="E710" s="1" t="s">
        <v>863</v>
      </c>
      <c r="F710" s="1" t="s">
        <v>24</v>
      </c>
      <c r="G710" s="8" t="s">
        <v>0</v>
      </c>
      <c r="H710" s="1">
        <v>30</v>
      </c>
      <c r="I710" s="10">
        <f>detail_avancement!B710</f>
        <v>0</v>
      </c>
      <c r="J710" s="10">
        <f t="shared" si="0"/>
        <v>30</v>
      </c>
      <c r="K710" s="13">
        <f t="shared" si="1"/>
        <v>0</v>
      </c>
      <c r="L710" s="14">
        <f t="shared" si="2"/>
        <v>0</v>
      </c>
    </row>
    <row r="711" spans="1:12" ht="15.75" customHeight="1">
      <c r="A711" s="8">
        <v>710</v>
      </c>
      <c r="B711" s="8" t="s">
        <v>860</v>
      </c>
      <c r="C711" s="1" t="s">
        <v>861</v>
      </c>
      <c r="D711" s="1" t="s">
        <v>862</v>
      </c>
      <c r="E711" s="1" t="s">
        <v>864</v>
      </c>
      <c r="F711" s="1" t="s">
        <v>24</v>
      </c>
      <c r="G711" s="8" t="s">
        <v>0</v>
      </c>
      <c r="H711" s="1">
        <v>30</v>
      </c>
      <c r="I711" s="10">
        <f>detail_avancement!B711</f>
        <v>0</v>
      </c>
      <c r="J711" s="10">
        <f t="shared" si="0"/>
        <v>30</v>
      </c>
      <c r="K711" s="13">
        <f t="shared" si="1"/>
        <v>0</v>
      </c>
      <c r="L711" s="14">
        <f t="shared" si="2"/>
        <v>0</v>
      </c>
    </row>
    <row r="712" spans="1:12" ht="15.75" customHeight="1">
      <c r="A712" s="8">
        <v>711</v>
      </c>
      <c r="B712" s="8" t="s">
        <v>860</v>
      </c>
      <c r="C712" s="1" t="s">
        <v>861</v>
      </c>
      <c r="D712" s="1" t="s">
        <v>862</v>
      </c>
      <c r="E712" s="1" t="s">
        <v>865</v>
      </c>
      <c r="F712" s="1" t="s">
        <v>24</v>
      </c>
      <c r="G712" s="8" t="s">
        <v>0</v>
      </c>
      <c r="H712" s="1">
        <v>30</v>
      </c>
      <c r="I712" s="10">
        <f>detail_avancement!B712</f>
        <v>0</v>
      </c>
      <c r="J712" s="10">
        <f t="shared" si="0"/>
        <v>30</v>
      </c>
      <c r="K712" s="13">
        <f t="shared" si="1"/>
        <v>0</v>
      </c>
      <c r="L712" s="14">
        <f t="shared" si="2"/>
        <v>0</v>
      </c>
    </row>
    <row r="713" spans="1:12" ht="15.75" customHeight="1">
      <c r="A713" s="8">
        <v>712</v>
      </c>
      <c r="B713" s="8" t="s">
        <v>860</v>
      </c>
      <c r="C713" s="1" t="s">
        <v>861</v>
      </c>
      <c r="D713" s="1" t="s">
        <v>862</v>
      </c>
      <c r="E713" s="1" t="s">
        <v>866</v>
      </c>
      <c r="F713" s="1" t="s">
        <v>24</v>
      </c>
      <c r="G713" s="8" t="s">
        <v>0</v>
      </c>
      <c r="H713" s="1">
        <v>30</v>
      </c>
      <c r="I713" s="10">
        <f>detail_avancement!B713</f>
        <v>0</v>
      </c>
      <c r="J713" s="10">
        <f t="shared" si="0"/>
        <v>30</v>
      </c>
      <c r="K713" s="13">
        <f t="shared" si="1"/>
        <v>0</v>
      </c>
      <c r="L713" s="14">
        <f t="shared" si="2"/>
        <v>0</v>
      </c>
    </row>
    <row r="714" spans="1:12" ht="15.75" customHeight="1">
      <c r="A714" s="8">
        <v>713</v>
      </c>
      <c r="B714" s="8" t="s">
        <v>860</v>
      </c>
      <c r="C714" s="1" t="s">
        <v>861</v>
      </c>
      <c r="D714" s="1" t="s">
        <v>862</v>
      </c>
      <c r="E714" s="1" t="s">
        <v>867</v>
      </c>
      <c r="F714" s="1" t="s">
        <v>24</v>
      </c>
      <c r="G714" s="8" t="s">
        <v>0</v>
      </c>
      <c r="H714" s="1">
        <v>30</v>
      </c>
      <c r="I714" s="10">
        <f>detail_avancement!B714</f>
        <v>0</v>
      </c>
      <c r="J714" s="10">
        <f t="shared" si="0"/>
        <v>30</v>
      </c>
      <c r="K714" s="13">
        <f t="shared" si="1"/>
        <v>0</v>
      </c>
      <c r="L714" s="14">
        <f t="shared" si="2"/>
        <v>0</v>
      </c>
    </row>
    <row r="715" spans="1:12" ht="15.75" customHeight="1">
      <c r="A715" s="8">
        <v>714</v>
      </c>
      <c r="B715" s="8" t="s">
        <v>860</v>
      </c>
      <c r="C715" s="1" t="s">
        <v>861</v>
      </c>
      <c r="D715" s="1" t="s">
        <v>862</v>
      </c>
      <c r="E715" s="1" t="s">
        <v>868</v>
      </c>
      <c r="F715" s="1" t="s">
        <v>24</v>
      </c>
      <c r="G715" s="8" t="s">
        <v>0</v>
      </c>
      <c r="H715" s="1">
        <v>30</v>
      </c>
      <c r="I715" s="10">
        <f>detail_avancement!B715</f>
        <v>0</v>
      </c>
      <c r="J715" s="10">
        <f t="shared" si="0"/>
        <v>30</v>
      </c>
      <c r="K715" s="13">
        <f t="shared" si="1"/>
        <v>0</v>
      </c>
      <c r="L715" s="14">
        <f t="shared" si="2"/>
        <v>0</v>
      </c>
    </row>
    <row r="716" spans="1:12" ht="15.75" customHeight="1">
      <c r="A716" s="8">
        <v>715</v>
      </c>
      <c r="B716" s="8" t="s">
        <v>860</v>
      </c>
      <c r="C716" s="1" t="s">
        <v>861</v>
      </c>
      <c r="D716" s="1" t="s">
        <v>862</v>
      </c>
      <c r="E716" s="1" t="s">
        <v>869</v>
      </c>
      <c r="F716" s="1" t="s">
        <v>24</v>
      </c>
      <c r="G716" s="8" t="s">
        <v>0</v>
      </c>
      <c r="H716" s="1">
        <v>30</v>
      </c>
      <c r="I716" s="10">
        <f>detail_avancement!B716</f>
        <v>0</v>
      </c>
      <c r="J716" s="10">
        <f t="shared" si="0"/>
        <v>30</v>
      </c>
      <c r="K716" s="13">
        <f t="shared" si="1"/>
        <v>0</v>
      </c>
      <c r="L716" s="14">
        <f t="shared" si="2"/>
        <v>0</v>
      </c>
    </row>
    <row r="717" spans="1:12" ht="15.75" customHeight="1">
      <c r="A717" s="8">
        <v>716</v>
      </c>
      <c r="B717" s="8" t="s">
        <v>860</v>
      </c>
      <c r="C717" s="1" t="s">
        <v>861</v>
      </c>
      <c r="D717" s="1" t="s">
        <v>862</v>
      </c>
      <c r="E717" s="1" t="s">
        <v>870</v>
      </c>
      <c r="F717" s="1" t="s">
        <v>24</v>
      </c>
      <c r="G717" s="8" t="s">
        <v>0</v>
      </c>
      <c r="H717" s="1">
        <v>30</v>
      </c>
      <c r="I717" s="10">
        <f>detail_avancement!B717</f>
        <v>0</v>
      </c>
      <c r="J717" s="10">
        <f t="shared" si="0"/>
        <v>30</v>
      </c>
      <c r="K717" s="13">
        <f t="shared" si="1"/>
        <v>0</v>
      </c>
      <c r="L717" s="14">
        <f t="shared" si="2"/>
        <v>0</v>
      </c>
    </row>
    <row r="718" spans="1:12" ht="15.75" customHeight="1">
      <c r="A718" s="8">
        <v>717</v>
      </c>
      <c r="B718" s="8" t="s">
        <v>860</v>
      </c>
      <c r="C718" s="1" t="s">
        <v>861</v>
      </c>
      <c r="D718" s="1" t="s">
        <v>862</v>
      </c>
      <c r="E718" s="1" t="s">
        <v>871</v>
      </c>
      <c r="F718" s="1" t="s">
        <v>24</v>
      </c>
      <c r="G718" s="8" t="s">
        <v>0</v>
      </c>
      <c r="H718" s="1">
        <v>30</v>
      </c>
      <c r="I718" s="10">
        <f>detail_avancement!B718</f>
        <v>0</v>
      </c>
      <c r="J718" s="10">
        <f t="shared" si="0"/>
        <v>30</v>
      </c>
      <c r="K718" s="13">
        <f t="shared" si="1"/>
        <v>0</v>
      </c>
      <c r="L718" s="14">
        <f t="shared" si="2"/>
        <v>0</v>
      </c>
    </row>
    <row r="719" spans="1:12" ht="15.75" customHeight="1">
      <c r="A719" s="8">
        <v>718</v>
      </c>
      <c r="B719" s="8" t="s">
        <v>860</v>
      </c>
      <c r="C719" s="1" t="s">
        <v>861</v>
      </c>
      <c r="D719" s="1" t="s">
        <v>862</v>
      </c>
      <c r="E719" s="1" t="s">
        <v>872</v>
      </c>
      <c r="F719" s="1" t="s">
        <v>24</v>
      </c>
      <c r="G719" s="8" t="s">
        <v>0</v>
      </c>
      <c r="H719" s="1">
        <v>30</v>
      </c>
      <c r="I719" s="10">
        <f>detail_avancement!B719</f>
        <v>0</v>
      </c>
      <c r="J719" s="10">
        <f t="shared" si="0"/>
        <v>30</v>
      </c>
      <c r="K719" s="13">
        <f t="shared" si="1"/>
        <v>0</v>
      </c>
      <c r="L719" s="14">
        <f t="shared" si="2"/>
        <v>0</v>
      </c>
    </row>
    <row r="720" spans="1:12" ht="15.75" customHeight="1">
      <c r="A720" s="8">
        <v>719</v>
      </c>
      <c r="B720" s="8" t="s">
        <v>860</v>
      </c>
      <c r="C720" s="1" t="s">
        <v>861</v>
      </c>
      <c r="D720" s="1" t="s">
        <v>862</v>
      </c>
      <c r="E720" s="1" t="s">
        <v>873</v>
      </c>
      <c r="F720" s="1" t="s">
        <v>24</v>
      </c>
      <c r="G720" s="8" t="s">
        <v>0</v>
      </c>
      <c r="H720" s="1">
        <v>30</v>
      </c>
      <c r="I720" s="10">
        <f>detail_avancement!B720</f>
        <v>0</v>
      </c>
      <c r="J720" s="10">
        <f t="shared" si="0"/>
        <v>30</v>
      </c>
      <c r="K720" s="13">
        <f t="shared" si="1"/>
        <v>0</v>
      </c>
      <c r="L720" s="14">
        <f t="shared" si="2"/>
        <v>0</v>
      </c>
    </row>
    <row r="721" spans="1:12" ht="15.75" customHeight="1">
      <c r="A721" s="8">
        <v>720</v>
      </c>
      <c r="B721" s="8" t="s">
        <v>860</v>
      </c>
      <c r="C721" s="1" t="s">
        <v>861</v>
      </c>
      <c r="D721" s="1" t="s">
        <v>862</v>
      </c>
      <c r="E721" s="1" t="s">
        <v>874</v>
      </c>
      <c r="F721" s="1" t="s">
        <v>24</v>
      </c>
      <c r="G721" s="8" t="s">
        <v>0</v>
      </c>
      <c r="H721" s="1">
        <v>30</v>
      </c>
      <c r="I721" s="10">
        <f>detail_avancement!B721</f>
        <v>0</v>
      </c>
      <c r="J721" s="10">
        <f t="shared" si="0"/>
        <v>30</v>
      </c>
      <c r="K721" s="13">
        <f t="shared" si="1"/>
        <v>0</v>
      </c>
      <c r="L721" s="14">
        <f t="shared" si="2"/>
        <v>0</v>
      </c>
    </row>
    <row r="722" spans="1:12" ht="15.75" customHeight="1">
      <c r="A722" s="8">
        <v>721</v>
      </c>
      <c r="B722" s="8" t="s">
        <v>860</v>
      </c>
      <c r="C722" s="1" t="s">
        <v>861</v>
      </c>
      <c r="D722" s="1" t="s">
        <v>862</v>
      </c>
      <c r="E722" s="1" t="s">
        <v>875</v>
      </c>
      <c r="F722" s="1" t="s">
        <v>24</v>
      </c>
      <c r="G722" s="8" t="s">
        <v>0</v>
      </c>
      <c r="H722" s="1">
        <v>30</v>
      </c>
      <c r="I722" s="10">
        <f>detail_avancement!B722</f>
        <v>0</v>
      </c>
      <c r="J722" s="10">
        <f t="shared" si="0"/>
        <v>30</v>
      </c>
      <c r="K722" s="13">
        <f t="shared" si="1"/>
        <v>0</v>
      </c>
      <c r="L722" s="14">
        <f t="shared" si="2"/>
        <v>0</v>
      </c>
    </row>
    <row r="723" spans="1:12" ht="15.75" customHeight="1">
      <c r="A723" s="8">
        <v>722</v>
      </c>
      <c r="B723" s="8" t="s">
        <v>860</v>
      </c>
      <c r="C723" s="1" t="s">
        <v>861</v>
      </c>
      <c r="D723" s="1" t="s">
        <v>862</v>
      </c>
      <c r="E723" s="1" t="s">
        <v>876</v>
      </c>
      <c r="F723" s="1" t="s">
        <v>24</v>
      </c>
      <c r="G723" s="8" t="s">
        <v>0</v>
      </c>
      <c r="H723" s="1">
        <v>30</v>
      </c>
      <c r="I723" s="10">
        <f>detail_avancement!B723</f>
        <v>0</v>
      </c>
      <c r="J723" s="10">
        <f t="shared" si="0"/>
        <v>30</v>
      </c>
      <c r="K723" s="13">
        <f t="shared" si="1"/>
        <v>0</v>
      </c>
      <c r="L723" s="14">
        <f t="shared" si="2"/>
        <v>0</v>
      </c>
    </row>
    <row r="724" spans="1:12" ht="15.75" customHeight="1">
      <c r="A724" s="8">
        <v>723</v>
      </c>
      <c r="B724" s="8" t="s">
        <v>860</v>
      </c>
      <c r="C724" s="1" t="s">
        <v>861</v>
      </c>
      <c r="D724" s="1" t="s">
        <v>862</v>
      </c>
      <c r="E724" s="1" t="s">
        <v>877</v>
      </c>
      <c r="F724" s="1" t="s">
        <v>24</v>
      </c>
      <c r="G724" s="8" t="s">
        <v>0</v>
      </c>
      <c r="H724" s="1">
        <v>30</v>
      </c>
      <c r="I724" s="10">
        <f>detail_avancement!B724</f>
        <v>0</v>
      </c>
      <c r="J724" s="10">
        <f t="shared" si="0"/>
        <v>30</v>
      </c>
      <c r="K724" s="13">
        <f t="shared" si="1"/>
        <v>0</v>
      </c>
      <c r="L724" s="14">
        <f t="shared" si="2"/>
        <v>0</v>
      </c>
    </row>
    <row r="725" spans="1:12" ht="15.75" customHeight="1">
      <c r="A725" s="8">
        <v>724</v>
      </c>
      <c r="B725" s="8" t="s">
        <v>860</v>
      </c>
      <c r="C725" s="1" t="s">
        <v>861</v>
      </c>
      <c r="D725" s="1" t="s">
        <v>862</v>
      </c>
      <c r="E725" s="1" t="s">
        <v>878</v>
      </c>
      <c r="F725" s="1" t="s">
        <v>24</v>
      </c>
      <c r="G725" s="8" t="s">
        <v>0</v>
      </c>
      <c r="H725" s="1">
        <v>30</v>
      </c>
      <c r="I725" s="10">
        <f>detail_avancement!B725</f>
        <v>0</v>
      </c>
      <c r="J725" s="10">
        <f t="shared" si="0"/>
        <v>30</v>
      </c>
      <c r="K725" s="13">
        <f t="shared" si="1"/>
        <v>0</v>
      </c>
      <c r="L725" s="14">
        <f t="shared" si="2"/>
        <v>0</v>
      </c>
    </row>
    <row r="726" spans="1:12" ht="15.75" customHeight="1">
      <c r="A726" s="8">
        <v>725</v>
      </c>
      <c r="B726" s="8" t="s">
        <v>860</v>
      </c>
      <c r="C726" s="1" t="s">
        <v>861</v>
      </c>
      <c r="D726" s="1" t="s">
        <v>862</v>
      </c>
      <c r="E726" s="1" t="s">
        <v>879</v>
      </c>
      <c r="F726" s="1" t="s">
        <v>24</v>
      </c>
      <c r="G726" s="8" t="s">
        <v>0</v>
      </c>
      <c r="H726" s="1">
        <v>30</v>
      </c>
      <c r="I726" s="10">
        <f>detail_avancement!B726</f>
        <v>0</v>
      </c>
      <c r="J726" s="10">
        <f t="shared" si="0"/>
        <v>30</v>
      </c>
      <c r="K726" s="13">
        <f t="shared" si="1"/>
        <v>0</v>
      </c>
      <c r="L726" s="14">
        <f t="shared" si="2"/>
        <v>0</v>
      </c>
    </row>
    <row r="727" spans="1:12" ht="15.75" customHeight="1">
      <c r="A727" s="8">
        <v>726</v>
      </c>
      <c r="B727" s="8" t="s">
        <v>860</v>
      </c>
      <c r="C727" s="1" t="s">
        <v>861</v>
      </c>
      <c r="D727" s="1" t="s">
        <v>862</v>
      </c>
      <c r="E727" s="1" t="s">
        <v>880</v>
      </c>
      <c r="F727" s="1" t="s">
        <v>24</v>
      </c>
      <c r="G727" s="8" t="s">
        <v>0</v>
      </c>
      <c r="H727" s="1">
        <v>30</v>
      </c>
      <c r="I727" s="10">
        <f>detail_avancement!B727</f>
        <v>0</v>
      </c>
      <c r="J727" s="10">
        <f t="shared" si="0"/>
        <v>30</v>
      </c>
      <c r="K727" s="13">
        <f t="shared" si="1"/>
        <v>0</v>
      </c>
      <c r="L727" s="14">
        <f t="shared" si="2"/>
        <v>0</v>
      </c>
    </row>
    <row r="728" spans="1:12" ht="15.75" customHeight="1">
      <c r="A728" s="8">
        <v>727</v>
      </c>
      <c r="B728" s="8" t="s">
        <v>860</v>
      </c>
      <c r="C728" s="1" t="s">
        <v>861</v>
      </c>
      <c r="D728" s="1" t="s">
        <v>862</v>
      </c>
      <c r="E728" s="1" t="s">
        <v>881</v>
      </c>
      <c r="F728" s="1" t="s">
        <v>24</v>
      </c>
      <c r="G728" s="8" t="s">
        <v>0</v>
      </c>
      <c r="H728" s="1">
        <v>30</v>
      </c>
      <c r="I728" s="10">
        <f>detail_avancement!B728</f>
        <v>0</v>
      </c>
      <c r="J728" s="10">
        <f t="shared" si="0"/>
        <v>30</v>
      </c>
      <c r="K728" s="13">
        <f t="shared" si="1"/>
        <v>0</v>
      </c>
      <c r="L728" s="14">
        <f t="shared" si="2"/>
        <v>0</v>
      </c>
    </row>
    <row r="729" spans="1:12" ht="15.75" customHeight="1">
      <c r="A729" s="8">
        <v>728</v>
      </c>
      <c r="B729" s="8" t="s">
        <v>860</v>
      </c>
      <c r="C729" s="1" t="s">
        <v>861</v>
      </c>
      <c r="D729" s="1" t="s">
        <v>862</v>
      </c>
      <c r="E729" s="1" t="s">
        <v>882</v>
      </c>
      <c r="F729" s="1" t="s">
        <v>24</v>
      </c>
      <c r="G729" s="8" t="s">
        <v>0</v>
      </c>
      <c r="H729" s="1">
        <v>30</v>
      </c>
      <c r="I729" s="10">
        <f>detail_avancement!B729</f>
        <v>0</v>
      </c>
      <c r="J729" s="10">
        <f t="shared" si="0"/>
        <v>30</v>
      </c>
      <c r="K729" s="13">
        <f t="shared" si="1"/>
        <v>0</v>
      </c>
      <c r="L729" s="14">
        <f t="shared" si="2"/>
        <v>0</v>
      </c>
    </row>
    <row r="730" spans="1:12" ht="15.75" customHeight="1">
      <c r="A730" s="8">
        <v>729</v>
      </c>
      <c r="B730" s="8" t="s">
        <v>860</v>
      </c>
      <c r="C730" s="1" t="s">
        <v>861</v>
      </c>
      <c r="D730" s="1" t="s">
        <v>862</v>
      </c>
      <c r="E730" s="1" t="s">
        <v>883</v>
      </c>
      <c r="F730" s="1" t="s">
        <v>24</v>
      </c>
      <c r="G730" s="8" t="s">
        <v>0</v>
      </c>
      <c r="H730" s="1">
        <v>30</v>
      </c>
      <c r="I730" s="10">
        <f>detail_avancement!B730</f>
        <v>0</v>
      </c>
      <c r="J730" s="10">
        <f t="shared" si="0"/>
        <v>30</v>
      </c>
      <c r="K730" s="13">
        <f t="shared" si="1"/>
        <v>0</v>
      </c>
      <c r="L730" s="14">
        <f t="shared" si="2"/>
        <v>0</v>
      </c>
    </row>
    <row r="731" spans="1:12" ht="15.75" customHeight="1">
      <c r="A731" s="8">
        <v>730</v>
      </c>
      <c r="B731" s="8" t="s">
        <v>860</v>
      </c>
      <c r="C731" s="1" t="s">
        <v>861</v>
      </c>
      <c r="D731" s="1" t="s">
        <v>862</v>
      </c>
      <c r="E731" s="1" t="s">
        <v>884</v>
      </c>
      <c r="F731" s="1" t="s">
        <v>24</v>
      </c>
      <c r="G731" s="8" t="s">
        <v>0</v>
      </c>
      <c r="H731" s="1">
        <v>30</v>
      </c>
      <c r="I731" s="10">
        <f>detail_avancement!B731</f>
        <v>0</v>
      </c>
      <c r="J731" s="10">
        <f t="shared" si="0"/>
        <v>30</v>
      </c>
      <c r="K731" s="13">
        <f t="shared" si="1"/>
        <v>0</v>
      </c>
      <c r="L731" s="14">
        <f t="shared" si="2"/>
        <v>0</v>
      </c>
    </row>
    <row r="732" spans="1:12" ht="15.75" customHeight="1">
      <c r="A732" s="8">
        <v>731</v>
      </c>
      <c r="B732" s="8" t="s">
        <v>860</v>
      </c>
      <c r="C732" s="1" t="s">
        <v>861</v>
      </c>
      <c r="D732" s="1" t="s">
        <v>862</v>
      </c>
      <c r="E732" s="1" t="s">
        <v>885</v>
      </c>
      <c r="F732" s="1" t="s">
        <v>24</v>
      </c>
      <c r="G732" s="8" t="s">
        <v>0</v>
      </c>
      <c r="H732" s="1">
        <v>30</v>
      </c>
      <c r="I732" s="10">
        <f>detail_avancement!B732</f>
        <v>0</v>
      </c>
      <c r="J732" s="10">
        <f t="shared" si="0"/>
        <v>30</v>
      </c>
      <c r="K732" s="13">
        <f t="shared" si="1"/>
        <v>0</v>
      </c>
      <c r="L732" s="14">
        <f t="shared" si="2"/>
        <v>0</v>
      </c>
    </row>
    <row r="733" spans="1:12" ht="15.75" customHeight="1">
      <c r="A733" s="8">
        <v>732</v>
      </c>
      <c r="B733" s="8" t="s">
        <v>860</v>
      </c>
      <c r="C733" s="1" t="s">
        <v>861</v>
      </c>
      <c r="D733" s="1" t="s">
        <v>862</v>
      </c>
      <c r="E733" s="1" t="s">
        <v>886</v>
      </c>
      <c r="F733" s="1" t="s">
        <v>24</v>
      </c>
      <c r="G733" s="8" t="s">
        <v>0</v>
      </c>
      <c r="H733" s="1">
        <v>30</v>
      </c>
      <c r="I733" s="10">
        <f>detail_avancement!B733</f>
        <v>0</v>
      </c>
      <c r="J733" s="10">
        <f t="shared" si="0"/>
        <v>30</v>
      </c>
      <c r="K733" s="13">
        <f t="shared" si="1"/>
        <v>0</v>
      </c>
      <c r="L733" s="14">
        <f t="shared" si="2"/>
        <v>0</v>
      </c>
    </row>
    <row r="734" spans="1:12" ht="15.75" customHeight="1">
      <c r="A734" s="8">
        <v>733</v>
      </c>
      <c r="B734" s="8" t="s">
        <v>860</v>
      </c>
      <c r="C734" s="1" t="s">
        <v>861</v>
      </c>
      <c r="D734" s="1" t="s">
        <v>862</v>
      </c>
      <c r="E734" s="1" t="s">
        <v>887</v>
      </c>
      <c r="F734" s="1" t="s">
        <v>24</v>
      </c>
      <c r="G734" s="8" t="s">
        <v>0</v>
      </c>
      <c r="H734" s="1">
        <v>30</v>
      </c>
      <c r="I734" s="10">
        <f>detail_avancement!B734</f>
        <v>0</v>
      </c>
      <c r="J734" s="10">
        <f t="shared" si="0"/>
        <v>30</v>
      </c>
      <c r="K734" s="13">
        <f t="shared" si="1"/>
        <v>0</v>
      </c>
      <c r="L734" s="14">
        <f t="shared" si="2"/>
        <v>0</v>
      </c>
    </row>
    <row r="735" spans="1:12" ht="15.75" customHeight="1">
      <c r="A735" s="8">
        <v>734</v>
      </c>
      <c r="B735" s="8" t="s">
        <v>860</v>
      </c>
      <c r="C735" s="1" t="s">
        <v>861</v>
      </c>
      <c r="D735" s="1" t="s">
        <v>862</v>
      </c>
      <c r="E735" s="1" t="s">
        <v>888</v>
      </c>
      <c r="F735" s="1" t="s">
        <v>24</v>
      </c>
      <c r="G735" s="8" t="s">
        <v>0</v>
      </c>
      <c r="H735" s="1">
        <v>30</v>
      </c>
      <c r="I735" s="10">
        <f>detail_avancement!B735</f>
        <v>0</v>
      </c>
      <c r="J735" s="10">
        <f t="shared" si="0"/>
        <v>30</v>
      </c>
      <c r="K735" s="13">
        <f t="shared" si="1"/>
        <v>0</v>
      </c>
      <c r="L735" s="14">
        <f t="shared" si="2"/>
        <v>0</v>
      </c>
    </row>
    <row r="736" spans="1:12" ht="15.75" customHeight="1">
      <c r="A736" s="8">
        <v>735</v>
      </c>
      <c r="B736" s="8" t="s">
        <v>860</v>
      </c>
      <c r="C736" s="1" t="s">
        <v>861</v>
      </c>
      <c r="D736" s="1" t="s">
        <v>862</v>
      </c>
      <c r="E736" s="1" t="s">
        <v>889</v>
      </c>
      <c r="F736" s="1" t="s">
        <v>24</v>
      </c>
      <c r="G736" s="8" t="s">
        <v>0</v>
      </c>
      <c r="H736" s="1">
        <v>30</v>
      </c>
      <c r="I736" s="10">
        <f>detail_avancement!B736</f>
        <v>0</v>
      </c>
      <c r="J736" s="10">
        <f t="shared" si="0"/>
        <v>30</v>
      </c>
      <c r="K736" s="13">
        <f t="shared" si="1"/>
        <v>0</v>
      </c>
      <c r="L736" s="14">
        <f t="shared" si="2"/>
        <v>0</v>
      </c>
    </row>
    <row r="737" spans="1:12" ht="15.75" customHeight="1">
      <c r="A737" s="8">
        <v>736</v>
      </c>
      <c r="B737" s="8" t="s">
        <v>860</v>
      </c>
      <c r="C737" s="1" t="s">
        <v>861</v>
      </c>
      <c r="D737" s="1" t="s">
        <v>862</v>
      </c>
      <c r="E737" s="1" t="s">
        <v>890</v>
      </c>
      <c r="F737" s="1" t="s">
        <v>24</v>
      </c>
      <c r="G737" s="8" t="s">
        <v>0</v>
      </c>
      <c r="H737" s="1">
        <v>30</v>
      </c>
      <c r="I737" s="10">
        <f>detail_avancement!B737</f>
        <v>0</v>
      </c>
      <c r="J737" s="10">
        <f t="shared" si="0"/>
        <v>30</v>
      </c>
      <c r="K737" s="13">
        <f t="shared" si="1"/>
        <v>0</v>
      </c>
      <c r="L737" s="14">
        <f t="shared" si="2"/>
        <v>0</v>
      </c>
    </row>
    <row r="738" spans="1:12" ht="15.75" customHeight="1">
      <c r="A738" s="8">
        <v>737</v>
      </c>
      <c r="B738" s="8" t="s">
        <v>860</v>
      </c>
      <c r="C738" s="1" t="s">
        <v>861</v>
      </c>
      <c r="D738" s="1" t="s">
        <v>862</v>
      </c>
      <c r="E738" s="1" t="s">
        <v>891</v>
      </c>
      <c r="F738" s="1" t="s">
        <v>24</v>
      </c>
      <c r="G738" s="8" t="s">
        <v>0</v>
      </c>
      <c r="H738" s="1">
        <v>30</v>
      </c>
      <c r="I738" s="10">
        <f>detail_avancement!B738</f>
        <v>0</v>
      </c>
      <c r="J738" s="10">
        <f t="shared" si="0"/>
        <v>30</v>
      </c>
      <c r="K738" s="13">
        <f t="shared" si="1"/>
        <v>0</v>
      </c>
      <c r="L738" s="14">
        <f t="shared" si="2"/>
        <v>0</v>
      </c>
    </row>
    <row r="739" spans="1:12" ht="15.75" customHeight="1">
      <c r="A739" s="8">
        <v>738</v>
      </c>
      <c r="B739" s="8" t="s">
        <v>860</v>
      </c>
      <c r="C739" s="1" t="s">
        <v>861</v>
      </c>
      <c r="D739" s="1" t="s">
        <v>862</v>
      </c>
      <c r="E739" s="1" t="s">
        <v>892</v>
      </c>
      <c r="F739" s="1" t="s">
        <v>24</v>
      </c>
      <c r="G739" s="8" t="s">
        <v>0</v>
      </c>
      <c r="H739" s="1">
        <v>30</v>
      </c>
      <c r="I739" s="10">
        <f>detail_avancement!B739</f>
        <v>0</v>
      </c>
      <c r="J739" s="10">
        <f t="shared" si="0"/>
        <v>30</v>
      </c>
      <c r="K739" s="13">
        <f t="shared" si="1"/>
        <v>0</v>
      </c>
      <c r="L739" s="14">
        <f t="shared" si="2"/>
        <v>0</v>
      </c>
    </row>
    <row r="740" spans="1:12" ht="15.75" customHeight="1">
      <c r="A740" s="8">
        <v>739</v>
      </c>
      <c r="B740" s="8" t="s">
        <v>860</v>
      </c>
      <c r="C740" s="1" t="s">
        <v>861</v>
      </c>
      <c r="D740" s="1" t="s">
        <v>862</v>
      </c>
      <c r="E740" s="1" t="s">
        <v>893</v>
      </c>
      <c r="F740" s="1" t="s">
        <v>106</v>
      </c>
      <c r="G740" s="8" t="s">
        <v>0</v>
      </c>
      <c r="H740" s="1">
        <v>15</v>
      </c>
      <c r="I740" s="10">
        <f>detail_avancement!B740</f>
        <v>0</v>
      </c>
      <c r="J740" s="10">
        <f t="shared" si="0"/>
        <v>15</v>
      </c>
      <c r="K740" s="13">
        <f t="shared" si="1"/>
        <v>0</v>
      </c>
      <c r="L740" s="14">
        <f t="shared" si="2"/>
        <v>0</v>
      </c>
    </row>
    <row r="741" spans="1:12" ht="15.75" customHeight="1">
      <c r="A741" s="8">
        <v>740</v>
      </c>
      <c r="B741" s="8" t="s">
        <v>860</v>
      </c>
      <c r="C741" s="1" t="s">
        <v>861</v>
      </c>
      <c r="D741" s="1" t="s">
        <v>862</v>
      </c>
      <c r="E741" s="1" t="s">
        <v>894</v>
      </c>
      <c r="F741" s="1" t="s">
        <v>106</v>
      </c>
      <c r="G741" s="8" t="s">
        <v>0</v>
      </c>
      <c r="H741" s="1">
        <v>30</v>
      </c>
      <c r="I741" s="10">
        <f>detail_avancement!B741</f>
        <v>0</v>
      </c>
      <c r="J741" s="10">
        <f t="shared" si="0"/>
        <v>30</v>
      </c>
      <c r="K741" s="13">
        <f t="shared" si="1"/>
        <v>0</v>
      </c>
      <c r="L741" s="14">
        <f t="shared" si="2"/>
        <v>0</v>
      </c>
    </row>
    <row r="742" spans="1:12" ht="15.75" customHeight="1">
      <c r="A742" s="8">
        <v>741</v>
      </c>
      <c r="B742" s="8" t="s">
        <v>860</v>
      </c>
      <c r="C742" s="1" t="s">
        <v>861</v>
      </c>
      <c r="D742" s="1" t="s">
        <v>862</v>
      </c>
      <c r="E742" s="1" t="s">
        <v>895</v>
      </c>
      <c r="F742" s="1" t="s">
        <v>106</v>
      </c>
      <c r="G742" s="8" t="s">
        <v>0</v>
      </c>
      <c r="H742" s="1">
        <v>15</v>
      </c>
      <c r="I742" s="10">
        <f>detail_avancement!B742</f>
        <v>0</v>
      </c>
      <c r="J742" s="10">
        <f t="shared" si="0"/>
        <v>15</v>
      </c>
      <c r="K742" s="13">
        <f t="shared" si="1"/>
        <v>0</v>
      </c>
      <c r="L742" s="14">
        <f t="shared" si="2"/>
        <v>0</v>
      </c>
    </row>
    <row r="743" spans="1:12" ht="15.75" customHeight="1">
      <c r="A743" s="8">
        <v>742</v>
      </c>
      <c r="B743" s="8" t="s">
        <v>860</v>
      </c>
      <c r="C743" s="1" t="s">
        <v>861</v>
      </c>
      <c r="D743" s="1" t="s">
        <v>862</v>
      </c>
      <c r="E743" s="1" t="s">
        <v>896</v>
      </c>
      <c r="F743" s="1" t="s">
        <v>24</v>
      </c>
      <c r="G743" s="8" t="s">
        <v>0</v>
      </c>
      <c r="H743" s="1">
        <v>30</v>
      </c>
      <c r="I743" s="10">
        <f>detail_avancement!B743</f>
        <v>0</v>
      </c>
      <c r="J743" s="10">
        <f t="shared" si="0"/>
        <v>30</v>
      </c>
      <c r="K743" s="13">
        <f t="shared" si="1"/>
        <v>0</v>
      </c>
      <c r="L743" s="14">
        <f t="shared" si="2"/>
        <v>0</v>
      </c>
    </row>
    <row r="744" spans="1:12" ht="15.75" customHeight="1">
      <c r="A744" s="8">
        <v>743</v>
      </c>
      <c r="B744" s="8" t="s">
        <v>860</v>
      </c>
      <c r="C744" s="1" t="s">
        <v>861</v>
      </c>
      <c r="D744" s="1" t="s">
        <v>862</v>
      </c>
      <c r="E744" s="1" t="s">
        <v>897</v>
      </c>
      <c r="F744" s="1" t="s">
        <v>24</v>
      </c>
      <c r="G744" s="8" t="s">
        <v>0</v>
      </c>
      <c r="H744" s="1">
        <v>30</v>
      </c>
      <c r="I744" s="10">
        <f>detail_avancement!B744</f>
        <v>0</v>
      </c>
      <c r="J744" s="10">
        <f t="shared" si="0"/>
        <v>30</v>
      </c>
      <c r="K744" s="13">
        <f t="shared" si="1"/>
        <v>0</v>
      </c>
      <c r="L744" s="14">
        <f t="shared" si="2"/>
        <v>0</v>
      </c>
    </row>
    <row r="745" spans="1:12" ht="15.75" customHeight="1">
      <c r="A745" s="8">
        <v>744</v>
      </c>
      <c r="B745" s="8" t="s">
        <v>860</v>
      </c>
      <c r="C745" s="1" t="s">
        <v>861</v>
      </c>
      <c r="D745" s="1" t="s">
        <v>862</v>
      </c>
      <c r="E745" s="1" t="s">
        <v>898</v>
      </c>
      <c r="F745" s="1" t="s">
        <v>24</v>
      </c>
      <c r="G745" s="8" t="s">
        <v>0</v>
      </c>
      <c r="H745" s="1">
        <v>30</v>
      </c>
      <c r="I745" s="10">
        <f>detail_avancement!B745</f>
        <v>0</v>
      </c>
      <c r="J745" s="10">
        <f t="shared" si="0"/>
        <v>30</v>
      </c>
      <c r="K745" s="13">
        <f t="shared" si="1"/>
        <v>0</v>
      </c>
      <c r="L745" s="14">
        <f t="shared" si="2"/>
        <v>0</v>
      </c>
    </row>
    <row r="746" spans="1:12" ht="15.75" customHeight="1">
      <c r="A746" s="8">
        <v>745</v>
      </c>
      <c r="B746" s="8" t="s">
        <v>860</v>
      </c>
      <c r="C746" s="1" t="s">
        <v>861</v>
      </c>
      <c r="D746" s="1" t="s">
        <v>862</v>
      </c>
      <c r="E746" s="1" t="s">
        <v>724</v>
      </c>
      <c r="F746" s="1" t="s">
        <v>62</v>
      </c>
      <c r="G746" s="8" t="s">
        <v>0</v>
      </c>
      <c r="H746" s="1">
        <v>30</v>
      </c>
      <c r="I746" s="10">
        <f>detail_avancement!B746</f>
        <v>0</v>
      </c>
      <c r="J746" s="10">
        <f t="shared" si="0"/>
        <v>30</v>
      </c>
      <c r="K746" s="13">
        <f t="shared" si="1"/>
        <v>0</v>
      </c>
      <c r="L746" s="14">
        <f t="shared" si="2"/>
        <v>0</v>
      </c>
    </row>
    <row r="747" spans="1:12" ht="15.75" customHeight="1">
      <c r="A747" s="8">
        <v>746</v>
      </c>
      <c r="B747" s="8" t="s">
        <v>860</v>
      </c>
      <c r="C747" s="1" t="s">
        <v>861</v>
      </c>
      <c r="D747" s="1" t="s">
        <v>862</v>
      </c>
      <c r="E747" s="1" t="s">
        <v>899</v>
      </c>
      <c r="F747" s="1" t="s">
        <v>62</v>
      </c>
      <c r="G747" s="8" t="s">
        <v>0</v>
      </c>
      <c r="H747" s="1">
        <v>30</v>
      </c>
      <c r="I747" s="10">
        <f>detail_avancement!B747</f>
        <v>0</v>
      </c>
      <c r="J747" s="10">
        <f t="shared" si="0"/>
        <v>30</v>
      </c>
      <c r="K747" s="13">
        <f t="shared" si="1"/>
        <v>0</v>
      </c>
      <c r="L747" s="14">
        <f t="shared" si="2"/>
        <v>0</v>
      </c>
    </row>
    <row r="748" spans="1:12" ht="15.75" customHeight="1">
      <c r="A748" s="8">
        <v>747</v>
      </c>
      <c r="B748" s="8" t="s">
        <v>900</v>
      </c>
      <c r="C748" s="1" t="s">
        <v>901</v>
      </c>
      <c r="D748" s="1" t="s">
        <v>902</v>
      </c>
      <c r="E748" s="1" t="s">
        <v>903</v>
      </c>
      <c r="F748" s="1" t="s">
        <v>24</v>
      </c>
      <c r="G748" s="8" t="s">
        <v>0</v>
      </c>
      <c r="H748" s="1">
        <v>15</v>
      </c>
      <c r="I748" s="10">
        <f>detail_avancement!B748</f>
        <v>0</v>
      </c>
      <c r="J748" s="10">
        <f t="shared" si="0"/>
        <v>15</v>
      </c>
      <c r="K748" s="13">
        <f t="shared" si="1"/>
        <v>0</v>
      </c>
      <c r="L748" s="14">
        <f t="shared" si="2"/>
        <v>0</v>
      </c>
    </row>
    <row r="749" spans="1:12" ht="15.75" customHeight="1">
      <c r="A749" s="8">
        <v>748</v>
      </c>
      <c r="B749" s="8" t="s">
        <v>900</v>
      </c>
      <c r="C749" s="1" t="s">
        <v>901</v>
      </c>
      <c r="D749" s="1" t="s">
        <v>902</v>
      </c>
      <c r="E749" s="1" t="s">
        <v>904</v>
      </c>
      <c r="F749" s="1" t="s">
        <v>24</v>
      </c>
      <c r="G749" s="8" t="s">
        <v>0</v>
      </c>
      <c r="H749" s="1">
        <v>15</v>
      </c>
      <c r="I749" s="10">
        <f>detail_avancement!B749</f>
        <v>0</v>
      </c>
      <c r="J749" s="10">
        <f t="shared" si="0"/>
        <v>15</v>
      </c>
      <c r="K749" s="13">
        <f t="shared" si="1"/>
        <v>0</v>
      </c>
      <c r="L749" s="14">
        <f t="shared" si="2"/>
        <v>0</v>
      </c>
    </row>
    <row r="750" spans="1:12" ht="15.75" customHeight="1">
      <c r="A750" s="8">
        <v>749</v>
      </c>
      <c r="B750" s="8" t="s">
        <v>900</v>
      </c>
      <c r="C750" s="1" t="s">
        <v>901</v>
      </c>
      <c r="D750" s="1" t="s">
        <v>902</v>
      </c>
      <c r="E750" s="1" t="s">
        <v>905</v>
      </c>
      <c r="F750" s="1" t="s">
        <v>24</v>
      </c>
      <c r="G750" s="8" t="s">
        <v>0</v>
      </c>
      <c r="H750" s="1">
        <v>15</v>
      </c>
      <c r="I750" s="10">
        <f>detail_avancement!B750</f>
        <v>0</v>
      </c>
      <c r="J750" s="10">
        <f t="shared" si="0"/>
        <v>15</v>
      </c>
      <c r="K750" s="13">
        <f t="shared" si="1"/>
        <v>0</v>
      </c>
      <c r="L750" s="14">
        <f t="shared" si="2"/>
        <v>0</v>
      </c>
    </row>
    <row r="751" spans="1:12" ht="15.75" customHeight="1">
      <c r="A751" s="8">
        <v>750</v>
      </c>
      <c r="B751" s="8" t="s">
        <v>900</v>
      </c>
      <c r="C751" s="1" t="s">
        <v>901</v>
      </c>
      <c r="D751" s="1" t="s">
        <v>902</v>
      </c>
      <c r="E751" s="1" t="s">
        <v>906</v>
      </c>
      <c r="F751" s="1" t="s">
        <v>24</v>
      </c>
      <c r="G751" s="8" t="s">
        <v>0</v>
      </c>
      <c r="H751" s="1">
        <v>30</v>
      </c>
      <c r="I751" s="10">
        <f>detail_avancement!B751</f>
        <v>0</v>
      </c>
      <c r="J751" s="10">
        <f t="shared" si="0"/>
        <v>30</v>
      </c>
      <c r="K751" s="13">
        <f t="shared" si="1"/>
        <v>0</v>
      </c>
      <c r="L751" s="14">
        <f t="shared" si="2"/>
        <v>0</v>
      </c>
    </row>
    <row r="752" spans="1:12" ht="15.75" customHeight="1">
      <c r="A752" s="8">
        <v>751</v>
      </c>
      <c r="B752" s="8" t="s">
        <v>900</v>
      </c>
      <c r="C752" s="1" t="s">
        <v>901</v>
      </c>
      <c r="D752" s="1" t="s">
        <v>902</v>
      </c>
      <c r="E752" s="1" t="s">
        <v>907</v>
      </c>
      <c r="F752" s="1" t="s">
        <v>24</v>
      </c>
      <c r="G752" s="8" t="s">
        <v>0</v>
      </c>
      <c r="H752" s="1">
        <v>15</v>
      </c>
      <c r="I752" s="10">
        <f>detail_avancement!B752</f>
        <v>0</v>
      </c>
      <c r="J752" s="10">
        <f t="shared" si="0"/>
        <v>15</v>
      </c>
      <c r="K752" s="13">
        <f t="shared" si="1"/>
        <v>0</v>
      </c>
      <c r="L752" s="14">
        <f t="shared" si="2"/>
        <v>0</v>
      </c>
    </row>
    <row r="753" spans="1:12" ht="15.75" customHeight="1">
      <c r="A753" s="8">
        <v>752</v>
      </c>
      <c r="B753" s="8" t="s">
        <v>900</v>
      </c>
      <c r="C753" s="1" t="s">
        <v>901</v>
      </c>
      <c r="D753" s="1" t="s">
        <v>908</v>
      </c>
      <c r="E753" s="1" t="s">
        <v>909</v>
      </c>
      <c r="F753" s="1" t="s">
        <v>24</v>
      </c>
      <c r="G753" s="8" t="s">
        <v>0</v>
      </c>
      <c r="H753" s="1">
        <v>30</v>
      </c>
      <c r="I753" s="10">
        <f>detail_avancement!B753</f>
        <v>0</v>
      </c>
      <c r="J753" s="10">
        <f t="shared" si="0"/>
        <v>30</v>
      </c>
      <c r="K753" s="13">
        <f t="shared" si="1"/>
        <v>0</v>
      </c>
      <c r="L753" s="14">
        <f t="shared" si="2"/>
        <v>0</v>
      </c>
    </row>
    <row r="754" spans="1:12" ht="15.75" customHeight="1">
      <c r="A754" s="8">
        <v>753</v>
      </c>
      <c r="B754" s="8" t="s">
        <v>900</v>
      </c>
      <c r="C754" s="1" t="s">
        <v>901</v>
      </c>
      <c r="D754" s="1" t="s">
        <v>908</v>
      </c>
      <c r="E754" s="1" t="s">
        <v>910</v>
      </c>
      <c r="F754" s="1" t="s">
        <v>24</v>
      </c>
      <c r="G754" s="8" t="s">
        <v>0</v>
      </c>
      <c r="H754" s="1">
        <v>30</v>
      </c>
      <c r="I754" s="10">
        <f>detail_avancement!B754</f>
        <v>0</v>
      </c>
      <c r="J754" s="10">
        <f t="shared" si="0"/>
        <v>30</v>
      </c>
      <c r="K754" s="13">
        <f t="shared" si="1"/>
        <v>0</v>
      </c>
      <c r="L754" s="14">
        <f t="shared" si="2"/>
        <v>0</v>
      </c>
    </row>
    <row r="755" spans="1:12" ht="15.75" customHeight="1">
      <c r="A755" s="8">
        <v>754</v>
      </c>
      <c r="B755" s="8" t="s">
        <v>900</v>
      </c>
      <c r="C755" s="1" t="s">
        <v>901</v>
      </c>
      <c r="D755" s="1" t="s">
        <v>908</v>
      </c>
      <c r="E755" s="1" t="s">
        <v>911</v>
      </c>
      <c r="F755" s="1" t="s">
        <v>24</v>
      </c>
      <c r="G755" s="8" t="s">
        <v>0</v>
      </c>
      <c r="H755" s="1">
        <v>30</v>
      </c>
      <c r="I755" s="10">
        <f>detail_avancement!B755</f>
        <v>0</v>
      </c>
      <c r="J755" s="10">
        <f t="shared" si="0"/>
        <v>30</v>
      </c>
      <c r="K755" s="13">
        <f t="shared" si="1"/>
        <v>0</v>
      </c>
      <c r="L755" s="14">
        <f t="shared" si="2"/>
        <v>0</v>
      </c>
    </row>
    <row r="756" spans="1:12" ht="15.75" customHeight="1">
      <c r="A756" s="8">
        <v>755</v>
      </c>
      <c r="B756" s="8" t="s">
        <v>900</v>
      </c>
      <c r="C756" s="1" t="s">
        <v>901</v>
      </c>
      <c r="D756" s="1" t="s">
        <v>908</v>
      </c>
      <c r="E756" s="1" t="s">
        <v>912</v>
      </c>
      <c r="F756" s="1" t="s">
        <v>24</v>
      </c>
      <c r="G756" s="8" t="s">
        <v>0</v>
      </c>
      <c r="H756" s="1">
        <v>15</v>
      </c>
      <c r="I756" s="10">
        <f>detail_avancement!B756</f>
        <v>0</v>
      </c>
      <c r="J756" s="10">
        <f t="shared" si="0"/>
        <v>15</v>
      </c>
      <c r="K756" s="13">
        <f t="shared" si="1"/>
        <v>0</v>
      </c>
      <c r="L756" s="14">
        <f t="shared" si="2"/>
        <v>0</v>
      </c>
    </row>
    <row r="757" spans="1:12" ht="15.75" customHeight="1">
      <c r="A757" s="8">
        <v>756</v>
      </c>
      <c r="B757" s="8" t="s">
        <v>900</v>
      </c>
      <c r="C757" s="1" t="s">
        <v>901</v>
      </c>
      <c r="D757" s="1" t="s">
        <v>908</v>
      </c>
      <c r="E757" s="1" t="s">
        <v>913</v>
      </c>
      <c r="F757" s="1" t="s">
        <v>24</v>
      </c>
      <c r="G757" s="8" t="s">
        <v>0</v>
      </c>
      <c r="H757" s="1">
        <v>15</v>
      </c>
      <c r="I757" s="10">
        <f>detail_avancement!B757</f>
        <v>0</v>
      </c>
      <c r="J757" s="10">
        <f t="shared" si="0"/>
        <v>15</v>
      </c>
      <c r="K757" s="13">
        <f t="shared" si="1"/>
        <v>0</v>
      </c>
      <c r="L757" s="14">
        <f t="shared" si="2"/>
        <v>0</v>
      </c>
    </row>
    <row r="758" spans="1:12" ht="15.75" customHeight="1">
      <c r="A758" s="8">
        <v>757</v>
      </c>
      <c r="B758" s="8" t="s">
        <v>900</v>
      </c>
      <c r="C758" s="1" t="s">
        <v>901</v>
      </c>
      <c r="D758" s="1" t="s">
        <v>914</v>
      </c>
      <c r="E758" s="1" t="s">
        <v>915</v>
      </c>
      <c r="F758" s="1" t="s">
        <v>24</v>
      </c>
      <c r="G758" s="8" t="s">
        <v>0</v>
      </c>
      <c r="H758" s="1">
        <v>15</v>
      </c>
      <c r="I758" s="10">
        <f>detail_avancement!B758</f>
        <v>0</v>
      </c>
      <c r="J758" s="10">
        <f t="shared" si="0"/>
        <v>15</v>
      </c>
      <c r="K758" s="13">
        <f t="shared" si="1"/>
        <v>0</v>
      </c>
      <c r="L758" s="14">
        <f t="shared" si="2"/>
        <v>0</v>
      </c>
    </row>
    <row r="759" spans="1:12" ht="15.75" customHeight="1">
      <c r="A759" s="8">
        <v>758</v>
      </c>
      <c r="B759" s="8" t="s">
        <v>900</v>
      </c>
      <c r="C759" s="1" t="s">
        <v>901</v>
      </c>
      <c r="D759" s="1" t="s">
        <v>914</v>
      </c>
      <c r="E759" s="1" t="s">
        <v>916</v>
      </c>
      <c r="F759" s="1" t="s">
        <v>24</v>
      </c>
      <c r="G759" s="8" t="s">
        <v>0</v>
      </c>
      <c r="H759" s="1">
        <v>30</v>
      </c>
      <c r="I759" s="10">
        <f>detail_avancement!B759</f>
        <v>0</v>
      </c>
      <c r="J759" s="10">
        <f t="shared" si="0"/>
        <v>30</v>
      </c>
      <c r="K759" s="13">
        <f t="shared" si="1"/>
        <v>0</v>
      </c>
      <c r="L759" s="14">
        <f t="shared" si="2"/>
        <v>0</v>
      </c>
    </row>
    <row r="760" spans="1:12" ht="15.75" customHeight="1">
      <c r="A760" s="8">
        <v>759</v>
      </c>
      <c r="B760" s="8" t="s">
        <v>900</v>
      </c>
      <c r="C760" s="1" t="s">
        <v>901</v>
      </c>
      <c r="D760" s="1" t="s">
        <v>914</v>
      </c>
      <c r="E760" s="1" t="s">
        <v>723</v>
      </c>
      <c r="F760" s="1" t="s">
        <v>24</v>
      </c>
      <c r="G760" s="8" t="s">
        <v>0</v>
      </c>
      <c r="H760" s="1">
        <v>15</v>
      </c>
      <c r="I760" s="10">
        <f>detail_avancement!B760</f>
        <v>0</v>
      </c>
      <c r="J760" s="10">
        <f t="shared" si="0"/>
        <v>15</v>
      </c>
      <c r="K760" s="13">
        <f t="shared" si="1"/>
        <v>0</v>
      </c>
      <c r="L760" s="14">
        <f t="shared" si="2"/>
        <v>0</v>
      </c>
    </row>
    <row r="761" spans="1:12" ht="15.75" customHeight="1">
      <c r="A761" s="8">
        <v>760</v>
      </c>
      <c r="B761" s="8" t="s">
        <v>900</v>
      </c>
      <c r="C761" s="1" t="s">
        <v>901</v>
      </c>
      <c r="D761" s="1" t="s">
        <v>917</v>
      </c>
      <c r="E761" s="1" t="s">
        <v>30</v>
      </c>
      <c r="F761" s="1" t="s">
        <v>24</v>
      </c>
      <c r="G761" s="8" t="s">
        <v>0</v>
      </c>
      <c r="H761" s="1">
        <v>30</v>
      </c>
      <c r="I761" s="10">
        <f>detail_avancement!B761</f>
        <v>0</v>
      </c>
      <c r="J761" s="10">
        <f t="shared" si="0"/>
        <v>30</v>
      </c>
      <c r="K761" s="13">
        <f t="shared" si="1"/>
        <v>0</v>
      </c>
      <c r="L761" s="14">
        <f t="shared" si="2"/>
        <v>0</v>
      </c>
    </row>
    <row r="762" spans="1:12" ht="15.75" customHeight="1">
      <c r="A762" s="8">
        <v>761</v>
      </c>
      <c r="B762" s="8" t="s">
        <v>900</v>
      </c>
      <c r="C762" s="1" t="s">
        <v>901</v>
      </c>
      <c r="D762" s="1" t="s">
        <v>917</v>
      </c>
      <c r="E762" s="1" t="s">
        <v>32</v>
      </c>
      <c r="F762" s="1" t="s">
        <v>24</v>
      </c>
      <c r="G762" s="8" t="s">
        <v>0</v>
      </c>
      <c r="H762" s="1">
        <v>30</v>
      </c>
      <c r="I762" s="10">
        <f>detail_avancement!B762</f>
        <v>0</v>
      </c>
      <c r="J762" s="10">
        <f t="shared" si="0"/>
        <v>30</v>
      </c>
      <c r="K762" s="13">
        <f t="shared" si="1"/>
        <v>0</v>
      </c>
      <c r="L762" s="14">
        <f t="shared" si="2"/>
        <v>0</v>
      </c>
    </row>
    <row r="763" spans="1:12" ht="15.75" customHeight="1">
      <c r="A763" s="8">
        <v>762</v>
      </c>
      <c r="B763" s="8" t="s">
        <v>900</v>
      </c>
      <c r="C763" s="1" t="s">
        <v>901</v>
      </c>
      <c r="D763" s="1" t="s">
        <v>917</v>
      </c>
      <c r="E763" s="1" t="s">
        <v>33</v>
      </c>
      <c r="F763" s="1" t="s">
        <v>24</v>
      </c>
      <c r="G763" s="8" t="s">
        <v>0</v>
      </c>
      <c r="H763" s="1">
        <v>30</v>
      </c>
      <c r="I763" s="10">
        <f>detail_avancement!B763</f>
        <v>0</v>
      </c>
      <c r="J763" s="10">
        <f t="shared" si="0"/>
        <v>30</v>
      </c>
      <c r="K763" s="13">
        <f t="shared" si="1"/>
        <v>0</v>
      </c>
      <c r="L763" s="14">
        <f t="shared" si="2"/>
        <v>0</v>
      </c>
    </row>
    <row r="764" spans="1:12" ht="15.75" customHeight="1">
      <c r="A764" s="8">
        <v>763</v>
      </c>
      <c r="B764" s="8" t="s">
        <v>900</v>
      </c>
      <c r="C764" s="1" t="s">
        <v>901</v>
      </c>
      <c r="D764" s="1" t="s">
        <v>917</v>
      </c>
      <c r="E764" s="1" t="s">
        <v>34</v>
      </c>
      <c r="F764" s="1" t="s">
        <v>24</v>
      </c>
      <c r="G764" s="8" t="s">
        <v>0</v>
      </c>
      <c r="H764" s="1">
        <v>30</v>
      </c>
      <c r="I764" s="10">
        <f>detail_avancement!B764</f>
        <v>0</v>
      </c>
      <c r="J764" s="10">
        <f t="shared" si="0"/>
        <v>30</v>
      </c>
      <c r="K764" s="13">
        <f t="shared" si="1"/>
        <v>0</v>
      </c>
      <c r="L764" s="14">
        <f t="shared" si="2"/>
        <v>0</v>
      </c>
    </row>
    <row r="765" spans="1:12" ht="15.75" customHeight="1">
      <c r="A765" s="8">
        <v>764</v>
      </c>
      <c r="B765" s="8" t="s">
        <v>900</v>
      </c>
      <c r="C765" s="1" t="s">
        <v>901</v>
      </c>
      <c r="D765" s="1" t="s">
        <v>917</v>
      </c>
      <c r="E765" s="1" t="s">
        <v>35</v>
      </c>
      <c r="F765" s="1" t="s">
        <v>24</v>
      </c>
      <c r="G765" s="8" t="s">
        <v>0</v>
      </c>
      <c r="H765" s="1">
        <v>30</v>
      </c>
      <c r="I765" s="10">
        <f>detail_avancement!B765</f>
        <v>0</v>
      </c>
      <c r="J765" s="10">
        <f t="shared" si="0"/>
        <v>30</v>
      </c>
      <c r="K765" s="13">
        <f t="shared" si="1"/>
        <v>0</v>
      </c>
      <c r="L765" s="14">
        <f t="shared" si="2"/>
        <v>0</v>
      </c>
    </row>
    <row r="766" spans="1:12" ht="15.75" customHeight="1">
      <c r="A766" s="8">
        <v>765</v>
      </c>
      <c r="B766" s="8" t="s">
        <v>900</v>
      </c>
      <c r="C766" s="1" t="s">
        <v>901</v>
      </c>
      <c r="D766" s="1" t="s">
        <v>917</v>
      </c>
      <c r="E766" s="1" t="s">
        <v>918</v>
      </c>
      <c r="F766" s="1" t="s">
        <v>24</v>
      </c>
      <c r="G766" s="8" t="s">
        <v>0</v>
      </c>
      <c r="H766" s="1">
        <v>30</v>
      </c>
      <c r="I766" s="10">
        <f>detail_avancement!B766</f>
        <v>0</v>
      </c>
      <c r="J766" s="10">
        <f t="shared" si="0"/>
        <v>30</v>
      </c>
      <c r="K766" s="13">
        <f t="shared" si="1"/>
        <v>0</v>
      </c>
      <c r="L766" s="14">
        <f t="shared" si="2"/>
        <v>0</v>
      </c>
    </row>
    <row r="767" spans="1:12" ht="15.75" customHeight="1">
      <c r="A767" s="8">
        <v>766</v>
      </c>
      <c r="B767" s="8" t="s">
        <v>900</v>
      </c>
      <c r="C767" s="1" t="s">
        <v>901</v>
      </c>
      <c r="D767" s="1" t="s">
        <v>919</v>
      </c>
      <c r="E767" s="1" t="s">
        <v>920</v>
      </c>
      <c r="F767" s="1" t="s">
        <v>24</v>
      </c>
      <c r="G767" s="8" t="s">
        <v>0</v>
      </c>
      <c r="H767" s="1">
        <v>30</v>
      </c>
      <c r="I767" s="10">
        <f>detail_avancement!B767</f>
        <v>0</v>
      </c>
      <c r="J767" s="10">
        <f t="shared" si="0"/>
        <v>30</v>
      </c>
      <c r="K767" s="13">
        <f t="shared" si="1"/>
        <v>0</v>
      </c>
      <c r="L767" s="14">
        <f t="shared" si="2"/>
        <v>0</v>
      </c>
    </row>
    <row r="768" spans="1:12" ht="15.75" customHeight="1">
      <c r="A768" s="8">
        <v>767</v>
      </c>
      <c r="B768" s="8" t="s">
        <v>900</v>
      </c>
      <c r="C768" s="1" t="s">
        <v>901</v>
      </c>
      <c r="D768" s="1" t="s">
        <v>919</v>
      </c>
      <c r="E768" s="1" t="s">
        <v>921</v>
      </c>
      <c r="F768" s="1" t="s">
        <v>24</v>
      </c>
      <c r="G768" s="8" t="s">
        <v>0</v>
      </c>
      <c r="H768" s="1">
        <v>30</v>
      </c>
      <c r="I768" s="10">
        <f>detail_avancement!B768</f>
        <v>0</v>
      </c>
      <c r="J768" s="10">
        <f t="shared" si="0"/>
        <v>30</v>
      </c>
      <c r="K768" s="13">
        <f t="shared" si="1"/>
        <v>0</v>
      </c>
      <c r="L768" s="14">
        <f t="shared" si="2"/>
        <v>0</v>
      </c>
    </row>
    <row r="769" spans="1:12" ht="15.75" customHeight="1">
      <c r="A769" s="8">
        <v>768</v>
      </c>
      <c r="B769" s="8" t="s">
        <v>900</v>
      </c>
      <c r="C769" s="1" t="s">
        <v>901</v>
      </c>
      <c r="D769" s="1" t="s">
        <v>919</v>
      </c>
      <c r="E769" s="1" t="s">
        <v>922</v>
      </c>
      <c r="F769" s="1" t="s">
        <v>24</v>
      </c>
      <c r="G769" s="8" t="s">
        <v>0</v>
      </c>
      <c r="H769" s="1">
        <v>30</v>
      </c>
      <c r="I769" s="10">
        <f>detail_avancement!B769</f>
        <v>0</v>
      </c>
      <c r="J769" s="10">
        <f t="shared" si="0"/>
        <v>30</v>
      </c>
      <c r="K769" s="13">
        <f t="shared" si="1"/>
        <v>0</v>
      </c>
      <c r="L769" s="14">
        <f t="shared" si="2"/>
        <v>0</v>
      </c>
    </row>
    <row r="770" spans="1:12" ht="15.75" customHeight="1">
      <c r="A770" s="8">
        <v>769</v>
      </c>
      <c r="B770" s="8" t="s">
        <v>900</v>
      </c>
      <c r="C770" s="1" t="s">
        <v>901</v>
      </c>
      <c r="D770" s="1" t="s">
        <v>919</v>
      </c>
      <c r="E770" s="1" t="s">
        <v>923</v>
      </c>
      <c r="F770" s="1" t="s">
        <v>24</v>
      </c>
      <c r="G770" s="8" t="s">
        <v>0</v>
      </c>
      <c r="H770" s="1">
        <v>30</v>
      </c>
      <c r="I770" s="10">
        <f>detail_avancement!B770</f>
        <v>0</v>
      </c>
      <c r="J770" s="10">
        <f t="shared" si="0"/>
        <v>30</v>
      </c>
      <c r="K770" s="13">
        <f t="shared" si="1"/>
        <v>0</v>
      </c>
      <c r="L770" s="14">
        <f t="shared" si="2"/>
        <v>0</v>
      </c>
    </row>
    <row r="771" spans="1:12" ht="15.75" customHeight="1">
      <c r="A771" s="8">
        <v>770</v>
      </c>
      <c r="B771" s="8" t="s">
        <v>900</v>
      </c>
      <c r="C771" s="1" t="s">
        <v>901</v>
      </c>
      <c r="D771" s="1" t="s">
        <v>919</v>
      </c>
      <c r="E771" s="1" t="s">
        <v>924</v>
      </c>
      <c r="F771" s="1" t="s">
        <v>24</v>
      </c>
      <c r="G771" s="8" t="s">
        <v>0</v>
      </c>
      <c r="H771" s="1">
        <v>30</v>
      </c>
      <c r="I771" s="10">
        <f>detail_avancement!B771</f>
        <v>0</v>
      </c>
      <c r="J771" s="10">
        <f t="shared" si="0"/>
        <v>30</v>
      </c>
      <c r="K771" s="13">
        <f t="shared" si="1"/>
        <v>0</v>
      </c>
      <c r="L771" s="14">
        <f t="shared" si="2"/>
        <v>0</v>
      </c>
    </row>
    <row r="772" spans="1:12" ht="15.75" customHeight="1">
      <c r="A772" s="8">
        <v>771</v>
      </c>
      <c r="B772" s="8" t="s">
        <v>900</v>
      </c>
      <c r="C772" s="1" t="s">
        <v>901</v>
      </c>
      <c r="D772" s="1" t="s">
        <v>919</v>
      </c>
      <c r="E772" s="1" t="s">
        <v>925</v>
      </c>
      <c r="F772" s="1" t="s">
        <v>24</v>
      </c>
      <c r="G772" s="8" t="s">
        <v>0</v>
      </c>
      <c r="H772" s="1">
        <v>30</v>
      </c>
      <c r="I772" s="10">
        <f>detail_avancement!B772</f>
        <v>0</v>
      </c>
      <c r="J772" s="10">
        <f t="shared" si="0"/>
        <v>30</v>
      </c>
      <c r="K772" s="13">
        <f t="shared" si="1"/>
        <v>0</v>
      </c>
      <c r="L772" s="14">
        <f t="shared" si="2"/>
        <v>0</v>
      </c>
    </row>
    <row r="773" spans="1:12" ht="15.75" customHeight="1">
      <c r="A773" s="8">
        <v>772</v>
      </c>
      <c r="B773" s="8" t="s">
        <v>900</v>
      </c>
      <c r="C773" s="1" t="s">
        <v>901</v>
      </c>
      <c r="D773" s="1" t="s">
        <v>919</v>
      </c>
      <c r="E773" s="1" t="s">
        <v>926</v>
      </c>
      <c r="F773" s="1" t="s">
        <v>24</v>
      </c>
      <c r="G773" s="8" t="s">
        <v>0</v>
      </c>
      <c r="H773" s="1">
        <v>30</v>
      </c>
      <c r="I773" s="10">
        <f>detail_avancement!B773</f>
        <v>0</v>
      </c>
      <c r="J773" s="10">
        <f t="shared" si="0"/>
        <v>30</v>
      </c>
      <c r="K773" s="13">
        <f t="shared" si="1"/>
        <v>0</v>
      </c>
      <c r="L773" s="14">
        <f t="shared" si="2"/>
        <v>0</v>
      </c>
    </row>
    <row r="774" spans="1:12" ht="15.75" customHeight="1">
      <c r="A774" s="8">
        <v>773</v>
      </c>
      <c r="B774" s="8" t="s">
        <v>900</v>
      </c>
      <c r="C774" s="1" t="s">
        <v>901</v>
      </c>
      <c r="D774" s="1" t="s">
        <v>919</v>
      </c>
      <c r="E774" s="1" t="s">
        <v>927</v>
      </c>
      <c r="F774" s="1" t="s">
        <v>24</v>
      </c>
      <c r="G774" s="8" t="s">
        <v>0</v>
      </c>
      <c r="H774" s="1">
        <v>30</v>
      </c>
      <c r="I774" s="10">
        <f>detail_avancement!B774</f>
        <v>0</v>
      </c>
      <c r="J774" s="10">
        <f t="shared" si="0"/>
        <v>30</v>
      </c>
      <c r="K774" s="13">
        <f t="shared" si="1"/>
        <v>0</v>
      </c>
      <c r="L774" s="14">
        <f t="shared" si="2"/>
        <v>0</v>
      </c>
    </row>
    <row r="775" spans="1:12" ht="15.75" customHeight="1">
      <c r="A775" s="8">
        <v>774</v>
      </c>
      <c r="B775" s="8" t="s">
        <v>900</v>
      </c>
      <c r="C775" s="1" t="s">
        <v>901</v>
      </c>
      <c r="D775" s="1" t="s">
        <v>919</v>
      </c>
      <c r="E775" s="1" t="s">
        <v>928</v>
      </c>
      <c r="F775" s="1" t="s">
        <v>24</v>
      </c>
      <c r="G775" s="8" t="s">
        <v>0</v>
      </c>
      <c r="H775" s="1">
        <v>30</v>
      </c>
      <c r="I775" s="10">
        <f>detail_avancement!B775</f>
        <v>0</v>
      </c>
      <c r="J775" s="10">
        <f t="shared" si="0"/>
        <v>30</v>
      </c>
      <c r="K775" s="13">
        <f t="shared" si="1"/>
        <v>0</v>
      </c>
      <c r="L775" s="14">
        <f t="shared" si="2"/>
        <v>0</v>
      </c>
    </row>
    <row r="776" spans="1:12" ht="15.75" customHeight="1">
      <c r="A776" s="8">
        <v>775</v>
      </c>
      <c r="B776" s="8" t="s">
        <v>900</v>
      </c>
      <c r="C776" s="1" t="s">
        <v>901</v>
      </c>
      <c r="D776" s="1" t="s">
        <v>919</v>
      </c>
      <c r="E776" s="1" t="s">
        <v>929</v>
      </c>
      <c r="F776" s="1" t="s">
        <v>24</v>
      </c>
      <c r="G776" s="8" t="s">
        <v>0</v>
      </c>
      <c r="H776" s="1">
        <v>30</v>
      </c>
      <c r="I776" s="10">
        <f>detail_avancement!B776</f>
        <v>0</v>
      </c>
      <c r="J776" s="10">
        <f t="shared" si="0"/>
        <v>30</v>
      </c>
      <c r="K776" s="13">
        <f t="shared" si="1"/>
        <v>0</v>
      </c>
      <c r="L776" s="14">
        <f t="shared" si="2"/>
        <v>0</v>
      </c>
    </row>
    <row r="777" spans="1:12" ht="15.75" customHeight="1">
      <c r="A777" s="8">
        <v>776</v>
      </c>
      <c r="B777" s="8" t="s">
        <v>900</v>
      </c>
      <c r="C777" s="1" t="s">
        <v>901</v>
      </c>
      <c r="D777" s="1" t="s">
        <v>919</v>
      </c>
      <c r="E777" s="1" t="s">
        <v>930</v>
      </c>
      <c r="F777" s="1" t="s">
        <v>24</v>
      </c>
      <c r="G777" s="8" t="s">
        <v>0</v>
      </c>
      <c r="H777" s="1">
        <v>30</v>
      </c>
      <c r="I777" s="10">
        <f>detail_avancement!B777</f>
        <v>0</v>
      </c>
      <c r="J777" s="10">
        <f t="shared" si="0"/>
        <v>30</v>
      </c>
      <c r="K777" s="13">
        <f t="shared" si="1"/>
        <v>0</v>
      </c>
      <c r="L777" s="14">
        <f t="shared" si="2"/>
        <v>0</v>
      </c>
    </row>
    <row r="778" spans="1:12" ht="15.75" customHeight="1">
      <c r="A778" s="8">
        <v>777</v>
      </c>
      <c r="B778" s="8" t="s">
        <v>900</v>
      </c>
      <c r="C778" s="1" t="s">
        <v>901</v>
      </c>
      <c r="D778" s="1" t="s">
        <v>919</v>
      </c>
      <c r="E778" s="1" t="s">
        <v>931</v>
      </c>
      <c r="F778" s="1" t="s">
        <v>24</v>
      </c>
      <c r="G778" s="8" t="s">
        <v>0</v>
      </c>
      <c r="H778" s="1">
        <v>30</v>
      </c>
      <c r="I778" s="10">
        <f>detail_avancement!B778</f>
        <v>0</v>
      </c>
      <c r="J778" s="10">
        <f t="shared" si="0"/>
        <v>30</v>
      </c>
      <c r="K778" s="13">
        <f t="shared" si="1"/>
        <v>0</v>
      </c>
      <c r="L778" s="14">
        <f t="shared" si="2"/>
        <v>0</v>
      </c>
    </row>
    <row r="779" spans="1:12" ht="15.75" customHeight="1">
      <c r="A779" s="8">
        <v>778</v>
      </c>
      <c r="B779" s="8" t="s">
        <v>900</v>
      </c>
      <c r="C779" s="1" t="s">
        <v>901</v>
      </c>
      <c r="D779" s="1" t="s">
        <v>932</v>
      </c>
      <c r="E779" s="1" t="s">
        <v>933</v>
      </c>
      <c r="F779" s="1" t="s">
        <v>24</v>
      </c>
      <c r="G779" s="8" t="s">
        <v>0</v>
      </c>
      <c r="H779" s="1">
        <v>30</v>
      </c>
      <c r="I779" s="10">
        <f>detail_avancement!B779</f>
        <v>0</v>
      </c>
      <c r="J779" s="10">
        <f t="shared" si="0"/>
        <v>30</v>
      </c>
      <c r="K779" s="13">
        <f t="shared" si="1"/>
        <v>0</v>
      </c>
      <c r="L779" s="14">
        <f t="shared" si="2"/>
        <v>0</v>
      </c>
    </row>
    <row r="780" spans="1:12" ht="15.75" customHeight="1">
      <c r="A780" s="8">
        <v>779</v>
      </c>
      <c r="B780" s="8" t="s">
        <v>900</v>
      </c>
      <c r="C780" s="1" t="s">
        <v>901</v>
      </c>
      <c r="D780" s="1" t="s">
        <v>932</v>
      </c>
      <c r="E780" s="1" t="s">
        <v>934</v>
      </c>
      <c r="F780" s="1" t="s">
        <v>24</v>
      </c>
      <c r="G780" s="8" t="s">
        <v>0</v>
      </c>
      <c r="H780" s="1">
        <v>30</v>
      </c>
      <c r="I780" s="10">
        <f>detail_avancement!B780</f>
        <v>0</v>
      </c>
      <c r="J780" s="10">
        <f t="shared" si="0"/>
        <v>30</v>
      </c>
      <c r="K780" s="13">
        <f t="shared" si="1"/>
        <v>0</v>
      </c>
      <c r="L780" s="14">
        <f t="shared" si="2"/>
        <v>0</v>
      </c>
    </row>
    <row r="781" spans="1:12" ht="15.75" customHeight="1">
      <c r="A781" s="8">
        <v>780</v>
      </c>
      <c r="B781" s="8" t="s">
        <v>900</v>
      </c>
      <c r="C781" s="1" t="s">
        <v>901</v>
      </c>
      <c r="D781" s="1" t="s">
        <v>932</v>
      </c>
      <c r="E781" s="1" t="s">
        <v>146</v>
      </c>
      <c r="F781" s="1" t="s">
        <v>24</v>
      </c>
      <c r="G781" s="8" t="s">
        <v>0</v>
      </c>
      <c r="H781" s="1">
        <v>30</v>
      </c>
      <c r="I781" s="10">
        <f>detail_avancement!B781</f>
        <v>0</v>
      </c>
      <c r="J781" s="10">
        <f t="shared" si="0"/>
        <v>30</v>
      </c>
      <c r="K781" s="13">
        <f t="shared" si="1"/>
        <v>0</v>
      </c>
      <c r="L781" s="14">
        <f t="shared" si="2"/>
        <v>0</v>
      </c>
    </row>
    <row r="782" spans="1:12" ht="15.75" customHeight="1">
      <c r="A782" s="8">
        <v>781</v>
      </c>
      <c r="B782" s="8" t="s">
        <v>900</v>
      </c>
      <c r="C782" s="1" t="s">
        <v>901</v>
      </c>
      <c r="D782" s="1" t="s">
        <v>932</v>
      </c>
      <c r="E782" s="1" t="s">
        <v>147</v>
      </c>
      <c r="F782" s="1" t="s">
        <v>24</v>
      </c>
      <c r="G782" s="8" t="s">
        <v>0</v>
      </c>
      <c r="H782" s="1">
        <v>15</v>
      </c>
      <c r="I782" s="10">
        <f>detail_avancement!B782</f>
        <v>0</v>
      </c>
      <c r="J782" s="10">
        <f t="shared" si="0"/>
        <v>15</v>
      </c>
      <c r="K782" s="13">
        <f t="shared" si="1"/>
        <v>0</v>
      </c>
      <c r="L782" s="14">
        <f t="shared" si="2"/>
        <v>0</v>
      </c>
    </row>
    <row r="783" spans="1:12" ht="15.75" customHeight="1">
      <c r="A783" s="8">
        <v>782</v>
      </c>
      <c r="B783" s="8" t="s">
        <v>900</v>
      </c>
      <c r="C783" s="1" t="s">
        <v>901</v>
      </c>
      <c r="D783" s="1" t="s">
        <v>932</v>
      </c>
      <c r="E783" s="1" t="s">
        <v>148</v>
      </c>
      <c r="F783" s="1" t="s">
        <v>24</v>
      </c>
      <c r="G783" s="8" t="s">
        <v>0</v>
      </c>
      <c r="H783" s="1">
        <v>15</v>
      </c>
      <c r="I783" s="10">
        <f>detail_avancement!B783</f>
        <v>0</v>
      </c>
      <c r="J783" s="10">
        <f t="shared" si="0"/>
        <v>15</v>
      </c>
      <c r="K783" s="13">
        <f t="shared" si="1"/>
        <v>0</v>
      </c>
      <c r="L783" s="14">
        <f t="shared" si="2"/>
        <v>0</v>
      </c>
    </row>
    <row r="784" spans="1:12" ht="15.75" customHeight="1">
      <c r="A784" s="8">
        <v>783</v>
      </c>
      <c r="B784" s="8" t="s">
        <v>900</v>
      </c>
      <c r="C784" s="1" t="s">
        <v>901</v>
      </c>
      <c r="D784" s="1" t="s">
        <v>932</v>
      </c>
      <c r="E784" s="1" t="s">
        <v>149</v>
      </c>
      <c r="F784" s="1" t="s">
        <v>24</v>
      </c>
      <c r="G784" s="8" t="s">
        <v>0</v>
      </c>
      <c r="H784" s="1">
        <v>15</v>
      </c>
      <c r="I784" s="10">
        <f>detail_avancement!B784</f>
        <v>0</v>
      </c>
      <c r="J784" s="10">
        <f t="shared" si="0"/>
        <v>15</v>
      </c>
      <c r="K784" s="13">
        <f t="shared" si="1"/>
        <v>0</v>
      </c>
      <c r="L784" s="14">
        <f t="shared" si="2"/>
        <v>0</v>
      </c>
    </row>
    <row r="785" spans="1:12" ht="15.75" customHeight="1">
      <c r="A785" s="8">
        <v>784</v>
      </c>
      <c r="B785" s="8" t="s">
        <v>900</v>
      </c>
      <c r="C785" s="1" t="s">
        <v>901</v>
      </c>
      <c r="D785" s="1" t="s">
        <v>932</v>
      </c>
      <c r="E785" s="1" t="s">
        <v>935</v>
      </c>
      <c r="F785" s="1" t="s">
        <v>24</v>
      </c>
      <c r="G785" s="8" t="s">
        <v>0</v>
      </c>
      <c r="H785" s="1">
        <v>15</v>
      </c>
      <c r="I785" s="10">
        <f>detail_avancement!B785</f>
        <v>0</v>
      </c>
      <c r="J785" s="10">
        <f t="shared" si="0"/>
        <v>15</v>
      </c>
      <c r="K785" s="13">
        <f t="shared" si="1"/>
        <v>0</v>
      </c>
      <c r="L785" s="14">
        <f t="shared" si="2"/>
        <v>0</v>
      </c>
    </row>
    <row r="786" spans="1:12" ht="15.75" customHeight="1">
      <c r="A786" s="8">
        <v>785</v>
      </c>
      <c r="B786" s="8" t="s">
        <v>900</v>
      </c>
      <c r="C786" s="1" t="s">
        <v>901</v>
      </c>
      <c r="D786" s="1" t="s">
        <v>932</v>
      </c>
      <c r="E786" s="1" t="s">
        <v>936</v>
      </c>
      <c r="F786" s="1" t="s">
        <v>24</v>
      </c>
      <c r="G786" s="8" t="s">
        <v>0</v>
      </c>
      <c r="H786" s="1">
        <v>30</v>
      </c>
      <c r="I786" s="10">
        <f>detail_avancement!B786</f>
        <v>0</v>
      </c>
      <c r="J786" s="10">
        <f t="shared" si="0"/>
        <v>30</v>
      </c>
      <c r="K786" s="13">
        <f t="shared" si="1"/>
        <v>0</v>
      </c>
      <c r="L786" s="14">
        <f t="shared" si="2"/>
        <v>0</v>
      </c>
    </row>
    <row r="787" spans="1:12" ht="15.75" customHeight="1">
      <c r="A787" s="8">
        <v>786</v>
      </c>
      <c r="B787" s="8" t="s">
        <v>900</v>
      </c>
      <c r="C787" s="1" t="s">
        <v>901</v>
      </c>
      <c r="D787" s="1" t="s">
        <v>932</v>
      </c>
      <c r="E787" s="1" t="s">
        <v>937</v>
      </c>
      <c r="F787" s="1" t="s">
        <v>24</v>
      </c>
      <c r="G787" s="8" t="s">
        <v>0</v>
      </c>
      <c r="H787" s="1">
        <v>30</v>
      </c>
      <c r="I787" s="10">
        <f>detail_avancement!B787</f>
        <v>0</v>
      </c>
      <c r="J787" s="10">
        <f t="shared" si="0"/>
        <v>30</v>
      </c>
      <c r="K787" s="13">
        <f t="shared" si="1"/>
        <v>0</v>
      </c>
      <c r="L787" s="14">
        <f t="shared" si="2"/>
        <v>0</v>
      </c>
    </row>
    <row r="788" spans="1:12" ht="15.75" customHeight="1">
      <c r="A788" s="8">
        <v>787</v>
      </c>
      <c r="B788" s="8" t="s">
        <v>900</v>
      </c>
      <c r="C788" s="1" t="s">
        <v>901</v>
      </c>
      <c r="D788" s="1" t="s">
        <v>932</v>
      </c>
      <c r="E788" s="1" t="s">
        <v>938</v>
      </c>
      <c r="F788" s="1" t="s">
        <v>24</v>
      </c>
      <c r="G788" s="8" t="s">
        <v>0</v>
      </c>
      <c r="H788" s="1">
        <v>30</v>
      </c>
      <c r="I788" s="10">
        <f>detail_avancement!B788</f>
        <v>0</v>
      </c>
      <c r="J788" s="10">
        <f t="shared" si="0"/>
        <v>30</v>
      </c>
      <c r="K788" s="13">
        <f t="shared" si="1"/>
        <v>0</v>
      </c>
      <c r="L788" s="14">
        <f t="shared" si="2"/>
        <v>0</v>
      </c>
    </row>
    <row r="789" spans="1:12" ht="15.75" customHeight="1">
      <c r="A789" s="8">
        <v>788</v>
      </c>
      <c r="B789" s="8" t="s">
        <v>900</v>
      </c>
      <c r="C789" s="1" t="s">
        <v>901</v>
      </c>
      <c r="D789" s="1" t="s">
        <v>932</v>
      </c>
      <c r="E789" s="1" t="s">
        <v>939</v>
      </c>
      <c r="F789" s="1" t="s">
        <v>24</v>
      </c>
      <c r="G789" s="8" t="s">
        <v>0</v>
      </c>
      <c r="H789" s="1">
        <v>30</v>
      </c>
      <c r="I789" s="10">
        <f>detail_avancement!B789</f>
        <v>0</v>
      </c>
      <c r="J789" s="10">
        <f t="shared" si="0"/>
        <v>30</v>
      </c>
      <c r="K789" s="13">
        <f t="shared" si="1"/>
        <v>0</v>
      </c>
      <c r="L789" s="14">
        <f t="shared" si="2"/>
        <v>0</v>
      </c>
    </row>
    <row r="790" spans="1:12" ht="15.75" customHeight="1">
      <c r="A790" s="8">
        <v>789</v>
      </c>
      <c r="B790" s="8" t="s">
        <v>900</v>
      </c>
      <c r="C790" s="1" t="s">
        <v>901</v>
      </c>
      <c r="D790" s="1" t="s">
        <v>940</v>
      </c>
      <c r="E790" s="1" t="s">
        <v>941</v>
      </c>
      <c r="F790" s="1" t="s">
        <v>24</v>
      </c>
      <c r="G790" s="8" t="s">
        <v>0</v>
      </c>
      <c r="H790" s="1">
        <v>30</v>
      </c>
      <c r="I790" s="10">
        <f>detail_avancement!B790</f>
        <v>0</v>
      </c>
      <c r="J790" s="10">
        <f t="shared" si="0"/>
        <v>30</v>
      </c>
      <c r="K790" s="13">
        <f t="shared" si="1"/>
        <v>0</v>
      </c>
      <c r="L790" s="14">
        <f t="shared" si="2"/>
        <v>0</v>
      </c>
    </row>
    <row r="791" spans="1:12" ht="15.75" customHeight="1">
      <c r="A791" s="8">
        <v>790</v>
      </c>
      <c r="B791" s="8" t="s">
        <v>900</v>
      </c>
      <c r="C791" s="1" t="s">
        <v>901</v>
      </c>
      <c r="D791" s="1" t="s">
        <v>940</v>
      </c>
      <c r="E791" s="1" t="s">
        <v>942</v>
      </c>
      <c r="F791" s="1" t="s">
        <v>24</v>
      </c>
      <c r="G791" s="8" t="s">
        <v>0</v>
      </c>
      <c r="H791" s="1">
        <v>30</v>
      </c>
      <c r="I791" s="10">
        <f>detail_avancement!B791</f>
        <v>0</v>
      </c>
      <c r="J791" s="10">
        <f t="shared" si="0"/>
        <v>30</v>
      </c>
      <c r="K791" s="13">
        <f t="shared" si="1"/>
        <v>0</v>
      </c>
      <c r="L791" s="14">
        <f t="shared" si="2"/>
        <v>0</v>
      </c>
    </row>
    <row r="792" spans="1:12" ht="15.75" customHeight="1">
      <c r="A792" s="8">
        <v>791</v>
      </c>
      <c r="B792" s="8" t="s">
        <v>900</v>
      </c>
      <c r="C792" s="1" t="s">
        <v>901</v>
      </c>
      <c r="D792" s="1" t="s">
        <v>940</v>
      </c>
      <c r="E792" s="1" t="s">
        <v>943</v>
      </c>
      <c r="F792" s="1" t="s">
        <v>24</v>
      </c>
      <c r="G792" s="8" t="s">
        <v>0</v>
      </c>
      <c r="H792" s="1">
        <v>30</v>
      </c>
      <c r="I792" s="10">
        <f>detail_avancement!B792</f>
        <v>0</v>
      </c>
      <c r="J792" s="10">
        <f t="shared" si="0"/>
        <v>30</v>
      </c>
      <c r="K792" s="13">
        <f t="shared" si="1"/>
        <v>0</v>
      </c>
      <c r="L792" s="14">
        <f t="shared" si="2"/>
        <v>0</v>
      </c>
    </row>
    <row r="793" spans="1:12" ht="15.75" customHeight="1">
      <c r="A793" s="8">
        <v>792</v>
      </c>
      <c r="B793" s="8" t="s">
        <v>900</v>
      </c>
      <c r="C793" s="1" t="s">
        <v>901</v>
      </c>
      <c r="D793" s="1" t="s">
        <v>940</v>
      </c>
      <c r="E793" s="1" t="s">
        <v>944</v>
      </c>
      <c r="F793" s="1" t="s">
        <v>24</v>
      </c>
      <c r="G793" s="8" t="s">
        <v>0</v>
      </c>
      <c r="H793" s="1">
        <v>30</v>
      </c>
      <c r="I793" s="10">
        <f>detail_avancement!B793</f>
        <v>0</v>
      </c>
      <c r="J793" s="10">
        <f t="shared" si="0"/>
        <v>30</v>
      </c>
      <c r="K793" s="13">
        <f t="shared" si="1"/>
        <v>0</v>
      </c>
      <c r="L793" s="14">
        <f t="shared" si="2"/>
        <v>0</v>
      </c>
    </row>
    <row r="794" spans="1:12" ht="15.75" customHeight="1">
      <c r="A794" s="8">
        <v>793</v>
      </c>
      <c r="B794" s="8" t="s">
        <v>900</v>
      </c>
      <c r="C794" s="1" t="s">
        <v>901</v>
      </c>
      <c r="D794" s="1" t="s">
        <v>940</v>
      </c>
      <c r="E794" s="1" t="s">
        <v>945</v>
      </c>
      <c r="F794" s="1" t="s">
        <v>24</v>
      </c>
      <c r="G794" s="8" t="s">
        <v>0</v>
      </c>
      <c r="H794" s="1">
        <v>30</v>
      </c>
      <c r="I794" s="10">
        <f>detail_avancement!B794</f>
        <v>0</v>
      </c>
      <c r="J794" s="10">
        <f t="shared" si="0"/>
        <v>30</v>
      </c>
      <c r="K794" s="13">
        <f t="shared" si="1"/>
        <v>0</v>
      </c>
      <c r="L794" s="14">
        <f t="shared" si="2"/>
        <v>0</v>
      </c>
    </row>
    <row r="795" spans="1:12" ht="15.75" customHeight="1">
      <c r="A795" s="8">
        <v>794</v>
      </c>
      <c r="B795" s="8" t="s">
        <v>900</v>
      </c>
      <c r="C795" s="1" t="s">
        <v>901</v>
      </c>
      <c r="D795" s="1" t="s">
        <v>940</v>
      </c>
      <c r="E795" s="1" t="s">
        <v>946</v>
      </c>
      <c r="F795" s="1" t="s">
        <v>24</v>
      </c>
      <c r="G795" s="8" t="s">
        <v>0</v>
      </c>
      <c r="H795" s="1">
        <v>30</v>
      </c>
      <c r="I795" s="10">
        <f>detail_avancement!B795</f>
        <v>0</v>
      </c>
      <c r="J795" s="10">
        <f t="shared" si="0"/>
        <v>30</v>
      </c>
      <c r="K795" s="13">
        <f t="shared" si="1"/>
        <v>0</v>
      </c>
      <c r="L795" s="14">
        <f t="shared" si="2"/>
        <v>0</v>
      </c>
    </row>
    <row r="796" spans="1:12" ht="15.75" customHeight="1">
      <c r="A796" s="8">
        <v>795</v>
      </c>
      <c r="B796" s="8" t="s">
        <v>900</v>
      </c>
      <c r="C796" s="1" t="s">
        <v>901</v>
      </c>
      <c r="D796" s="1" t="s">
        <v>940</v>
      </c>
      <c r="E796" s="1" t="s">
        <v>947</v>
      </c>
      <c r="F796" s="1" t="s">
        <v>24</v>
      </c>
      <c r="G796" s="8" t="s">
        <v>0</v>
      </c>
      <c r="H796" s="1">
        <v>30</v>
      </c>
      <c r="I796" s="10">
        <f>detail_avancement!B796</f>
        <v>0</v>
      </c>
      <c r="J796" s="10">
        <f t="shared" si="0"/>
        <v>30</v>
      </c>
      <c r="K796" s="13">
        <f t="shared" si="1"/>
        <v>0</v>
      </c>
      <c r="L796" s="14">
        <f t="shared" si="2"/>
        <v>0</v>
      </c>
    </row>
    <row r="797" spans="1:12" ht="15.75" customHeight="1">
      <c r="A797" s="8">
        <v>796</v>
      </c>
      <c r="B797" s="8" t="s">
        <v>900</v>
      </c>
      <c r="C797" s="1" t="s">
        <v>901</v>
      </c>
      <c r="D797" s="1" t="s">
        <v>940</v>
      </c>
      <c r="E797" s="1" t="s">
        <v>948</v>
      </c>
      <c r="F797" s="1" t="s">
        <v>24</v>
      </c>
      <c r="G797" s="8" t="s">
        <v>0</v>
      </c>
      <c r="H797" s="1">
        <v>30</v>
      </c>
      <c r="I797" s="10">
        <f>detail_avancement!B797</f>
        <v>0</v>
      </c>
      <c r="J797" s="10">
        <f t="shared" si="0"/>
        <v>30</v>
      </c>
      <c r="K797" s="13">
        <f t="shared" si="1"/>
        <v>0</v>
      </c>
      <c r="L797" s="14">
        <f t="shared" si="2"/>
        <v>0</v>
      </c>
    </row>
    <row r="798" spans="1:12" ht="15.75" customHeight="1">
      <c r="A798" s="8">
        <v>797</v>
      </c>
      <c r="B798" s="8" t="s">
        <v>900</v>
      </c>
      <c r="C798" s="1" t="s">
        <v>901</v>
      </c>
      <c r="D798" s="1" t="s">
        <v>940</v>
      </c>
      <c r="E798" s="1" t="s">
        <v>949</v>
      </c>
      <c r="F798" s="1" t="s">
        <v>24</v>
      </c>
      <c r="G798" s="8" t="s">
        <v>0</v>
      </c>
      <c r="H798" s="1">
        <v>30</v>
      </c>
      <c r="I798" s="10">
        <f>detail_avancement!B798</f>
        <v>0</v>
      </c>
      <c r="J798" s="10">
        <f t="shared" si="0"/>
        <v>30</v>
      </c>
      <c r="K798" s="13">
        <f t="shared" si="1"/>
        <v>0</v>
      </c>
      <c r="L798" s="14">
        <f t="shared" si="2"/>
        <v>0</v>
      </c>
    </row>
    <row r="799" spans="1:12" ht="15.75" customHeight="1">
      <c r="A799" s="8">
        <v>798</v>
      </c>
      <c r="B799" s="8" t="s">
        <v>900</v>
      </c>
      <c r="C799" s="1" t="s">
        <v>901</v>
      </c>
      <c r="D799" s="1" t="s">
        <v>940</v>
      </c>
      <c r="E799" s="1" t="s">
        <v>950</v>
      </c>
      <c r="F799" s="1" t="s">
        <v>24</v>
      </c>
      <c r="G799" s="8" t="s">
        <v>0</v>
      </c>
      <c r="H799" s="1">
        <v>30</v>
      </c>
      <c r="I799" s="10">
        <f>detail_avancement!B799</f>
        <v>0</v>
      </c>
      <c r="J799" s="10">
        <f t="shared" si="0"/>
        <v>30</v>
      </c>
      <c r="K799" s="13">
        <f t="shared" si="1"/>
        <v>0</v>
      </c>
      <c r="L799" s="14">
        <f t="shared" si="2"/>
        <v>0</v>
      </c>
    </row>
    <row r="800" spans="1:12" ht="15.75" customHeight="1">
      <c r="A800" s="8">
        <v>799</v>
      </c>
      <c r="B800" s="8" t="s">
        <v>900</v>
      </c>
      <c r="C800" s="1" t="s">
        <v>901</v>
      </c>
      <c r="D800" s="1" t="s">
        <v>940</v>
      </c>
      <c r="E800" s="1" t="s">
        <v>951</v>
      </c>
      <c r="F800" s="1" t="s">
        <v>24</v>
      </c>
      <c r="G800" s="8" t="s">
        <v>0</v>
      </c>
      <c r="H800" s="1">
        <v>30</v>
      </c>
      <c r="I800" s="10">
        <f>detail_avancement!B800</f>
        <v>0</v>
      </c>
      <c r="J800" s="10">
        <f t="shared" si="0"/>
        <v>30</v>
      </c>
      <c r="K800" s="13">
        <f t="shared" si="1"/>
        <v>0</v>
      </c>
      <c r="L800" s="14">
        <f t="shared" si="2"/>
        <v>0</v>
      </c>
    </row>
    <row r="801" spans="1:12" ht="15.75" customHeight="1">
      <c r="A801" s="8">
        <v>800</v>
      </c>
      <c r="B801" s="8" t="s">
        <v>900</v>
      </c>
      <c r="C801" s="1" t="s">
        <v>901</v>
      </c>
      <c r="D801" s="1" t="s">
        <v>940</v>
      </c>
      <c r="E801" s="1" t="s">
        <v>952</v>
      </c>
      <c r="F801" s="1" t="s">
        <v>24</v>
      </c>
      <c r="G801" s="8" t="s">
        <v>0</v>
      </c>
      <c r="H801" s="1">
        <v>30</v>
      </c>
      <c r="I801" s="10">
        <f>detail_avancement!B801</f>
        <v>0</v>
      </c>
      <c r="J801" s="10">
        <f t="shared" si="0"/>
        <v>30</v>
      </c>
      <c r="K801" s="13">
        <f t="shared" si="1"/>
        <v>0</v>
      </c>
      <c r="L801" s="14">
        <f t="shared" si="2"/>
        <v>0</v>
      </c>
    </row>
    <row r="802" spans="1:12" ht="15.75" customHeight="1">
      <c r="A802" s="8">
        <v>801</v>
      </c>
      <c r="B802" s="8" t="s">
        <v>900</v>
      </c>
      <c r="C802" s="1" t="s">
        <v>901</v>
      </c>
      <c r="D802" s="1" t="s">
        <v>940</v>
      </c>
      <c r="E802" s="1" t="s">
        <v>953</v>
      </c>
      <c r="F802" s="1" t="s">
        <v>24</v>
      </c>
      <c r="G802" s="8" t="s">
        <v>0</v>
      </c>
      <c r="H802" s="1">
        <v>30</v>
      </c>
      <c r="I802" s="10">
        <f>detail_avancement!B802</f>
        <v>0</v>
      </c>
      <c r="J802" s="10">
        <f t="shared" si="0"/>
        <v>30</v>
      </c>
      <c r="K802" s="13">
        <f t="shared" si="1"/>
        <v>0</v>
      </c>
      <c r="L802" s="14">
        <f t="shared" si="2"/>
        <v>0</v>
      </c>
    </row>
    <row r="803" spans="1:12" ht="15.75" customHeight="1">
      <c r="A803" s="8">
        <v>802</v>
      </c>
      <c r="B803" s="8" t="s">
        <v>900</v>
      </c>
      <c r="C803" s="1" t="s">
        <v>901</v>
      </c>
      <c r="D803" s="1" t="s">
        <v>940</v>
      </c>
      <c r="E803" s="1" t="s">
        <v>954</v>
      </c>
      <c r="F803" s="1" t="s">
        <v>24</v>
      </c>
      <c r="G803" s="8" t="s">
        <v>0</v>
      </c>
      <c r="H803" s="1">
        <v>30</v>
      </c>
      <c r="I803" s="10">
        <f>detail_avancement!B803</f>
        <v>0</v>
      </c>
      <c r="J803" s="10">
        <f t="shared" si="0"/>
        <v>30</v>
      </c>
      <c r="K803" s="13">
        <f t="shared" si="1"/>
        <v>0</v>
      </c>
      <c r="L803" s="14">
        <f t="shared" si="2"/>
        <v>0</v>
      </c>
    </row>
    <row r="804" spans="1:12" ht="15.75" customHeight="1">
      <c r="A804" s="8">
        <v>803</v>
      </c>
      <c r="B804" s="8" t="s">
        <v>900</v>
      </c>
      <c r="C804" s="1" t="s">
        <v>901</v>
      </c>
      <c r="D804" s="1" t="s">
        <v>940</v>
      </c>
      <c r="E804" s="1" t="s">
        <v>955</v>
      </c>
      <c r="F804" s="1" t="s">
        <v>24</v>
      </c>
      <c r="G804" s="8" t="s">
        <v>0</v>
      </c>
      <c r="H804" s="1">
        <v>30</v>
      </c>
      <c r="I804" s="10">
        <f>detail_avancement!B804</f>
        <v>0</v>
      </c>
      <c r="J804" s="10">
        <f t="shared" si="0"/>
        <v>30</v>
      </c>
      <c r="K804" s="13">
        <f t="shared" si="1"/>
        <v>0</v>
      </c>
      <c r="L804" s="14">
        <f t="shared" si="2"/>
        <v>0</v>
      </c>
    </row>
    <row r="805" spans="1:12" ht="15.75" customHeight="1">
      <c r="A805" s="8">
        <v>804</v>
      </c>
      <c r="B805" s="8" t="s">
        <v>900</v>
      </c>
      <c r="C805" s="1" t="s">
        <v>901</v>
      </c>
      <c r="D805" s="1" t="s">
        <v>940</v>
      </c>
      <c r="E805" s="1" t="s">
        <v>956</v>
      </c>
      <c r="F805" s="1" t="s">
        <v>24</v>
      </c>
      <c r="G805" s="8" t="s">
        <v>0</v>
      </c>
      <c r="H805" s="1">
        <v>30</v>
      </c>
      <c r="I805" s="10">
        <f>detail_avancement!B805</f>
        <v>0</v>
      </c>
      <c r="J805" s="10">
        <f t="shared" si="0"/>
        <v>30</v>
      </c>
      <c r="K805" s="13">
        <f t="shared" si="1"/>
        <v>0</v>
      </c>
      <c r="L805" s="14">
        <f t="shared" si="2"/>
        <v>0</v>
      </c>
    </row>
    <row r="806" spans="1:12" ht="15.75" customHeight="1">
      <c r="A806" s="8">
        <v>805</v>
      </c>
      <c r="B806" s="8" t="s">
        <v>900</v>
      </c>
      <c r="C806" s="1" t="s">
        <v>901</v>
      </c>
      <c r="D806" s="1" t="s">
        <v>940</v>
      </c>
      <c r="E806" s="1" t="s">
        <v>957</v>
      </c>
      <c r="F806" s="1" t="s">
        <v>24</v>
      </c>
      <c r="G806" s="8" t="s">
        <v>0</v>
      </c>
      <c r="H806" s="1">
        <v>30</v>
      </c>
      <c r="I806" s="10">
        <f>detail_avancement!B806</f>
        <v>0</v>
      </c>
      <c r="J806" s="10">
        <f t="shared" si="0"/>
        <v>30</v>
      </c>
      <c r="K806" s="13">
        <f t="shared" si="1"/>
        <v>0</v>
      </c>
      <c r="L806" s="14">
        <f t="shared" si="2"/>
        <v>0</v>
      </c>
    </row>
    <row r="807" spans="1:12" ht="15.75" customHeight="1">
      <c r="A807" s="8">
        <v>806</v>
      </c>
      <c r="B807" s="8" t="s">
        <v>900</v>
      </c>
      <c r="C807" s="1" t="s">
        <v>901</v>
      </c>
      <c r="D807" s="1" t="s">
        <v>940</v>
      </c>
      <c r="E807" s="1" t="s">
        <v>958</v>
      </c>
      <c r="F807" s="1" t="s">
        <v>24</v>
      </c>
      <c r="G807" s="8" t="s">
        <v>0</v>
      </c>
      <c r="H807" s="1">
        <v>30</v>
      </c>
      <c r="I807" s="10">
        <f>detail_avancement!B807</f>
        <v>0</v>
      </c>
      <c r="J807" s="10">
        <f t="shared" si="0"/>
        <v>30</v>
      </c>
      <c r="K807" s="13">
        <f t="shared" si="1"/>
        <v>0</v>
      </c>
      <c r="L807" s="14">
        <f t="shared" si="2"/>
        <v>0</v>
      </c>
    </row>
    <row r="808" spans="1:12" ht="15.75" customHeight="1">
      <c r="A808" s="8">
        <v>807</v>
      </c>
      <c r="B808" s="8" t="s">
        <v>900</v>
      </c>
      <c r="C808" s="1" t="s">
        <v>901</v>
      </c>
      <c r="D808" s="1" t="s">
        <v>940</v>
      </c>
      <c r="E808" s="1" t="s">
        <v>959</v>
      </c>
      <c r="F808" s="1" t="s">
        <v>24</v>
      </c>
      <c r="G808" s="8" t="s">
        <v>0</v>
      </c>
      <c r="H808" s="1">
        <v>30</v>
      </c>
      <c r="I808" s="10">
        <f>detail_avancement!B808</f>
        <v>0</v>
      </c>
      <c r="J808" s="10">
        <f t="shared" si="0"/>
        <v>30</v>
      </c>
      <c r="K808" s="13">
        <f t="shared" si="1"/>
        <v>0</v>
      </c>
      <c r="L808" s="14">
        <f t="shared" si="2"/>
        <v>0</v>
      </c>
    </row>
    <row r="809" spans="1:12" ht="15.75" customHeight="1">
      <c r="A809" s="8">
        <v>808</v>
      </c>
      <c r="B809" s="8" t="s">
        <v>900</v>
      </c>
      <c r="C809" s="1" t="s">
        <v>901</v>
      </c>
      <c r="D809" s="1" t="s">
        <v>940</v>
      </c>
      <c r="E809" s="1" t="s">
        <v>960</v>
      </c>
      <c r="F809" s="1" t="s">
        <v>24</v>
      </c>
      <c r="G809" s="8" t="s">
        <v>0</v>
      </c>
      <c r="H809" s="1">
        <v>30</v>
      </c>
      <c r="I809" s="10">
        <f>detail_avancement!B809</f>
        <v>0</v>
      </c>
      <c r="J809" s="10">
        <f t="shared" si="0"/>
        <v>30</v>
      </c>
      <c r="K809" s="13">
        <f t="shared" si="1"/>
        <v>0</v>
      </c>
      <c r="L809" s="14">
        <f t="shared" si="2"/>
        <v>0</v>
      </c>
    </row>
    <row r="810" spans="1:12" ht="15.75" customHeight="1">
      <c r="A810" s="8">
        <v>809</v>
      </c>
      <c r="B810" s="8" t="s">
        <v>900</v>
      </c>
      <c r="C810" s="1" t="s">
        <v>901</v>
      </c>
      <c r="D810" s="1" t="s">
        <v>940</v>
      </c>
      <c r="E810" s="1" t="s">
        <v>961</v>
      </c>
      <c r="F810" s="1" t="s">
        <v>24</v>
      </c>
      <c r="G810" s="8" t="s">
        <v>0</v>
      </c>
      <c r="H810" s="1">
        <v>30</v>
      </c>
      <c r="I810" s="10">
        <f>detail_avancement!B810</f>
        <v>0</v>
      </c>
      <c r="J810" s="10">
        <f t="shared" si="0"/>
        <v>30</v>
      </c>
      <c r="K810" s="13">
        <f t="shared" si="1"/>
        <v>0</v>
      </c>
      <c r="L810" s="14">
        <f t="shared" si="2"/>
        <v>0</v>
      </c>
    </row>
    <row r="811" spans="1:12" ht="15.75" customHeight="1">
      <c r="A811" s="8">
        <v>810</v>
      </c>
      <c r="B811" s="8" t="s">
        <v>900</v>
      </c>
      <c r="C811" s="1" t="s">
        <v>901</v>
      </c>
      <c r="D811" s="1" t="s">
        <v>940</v>
      </c>
      <c r="E811" s="1" t="s">
        <v>962</v>
      </c>
      <c r="F811" s="1" t="s">
        <v>24</v>
      </c>
      <c r="G811" s="8" t="s">
        <v>0</v>
      </c>
      <c r="H811" s="1">
        <v>30</v>
      </c>
      <c r="I811" s="10">
        <f>detail_avancement!B811</f>
        <v>0</v>
      </c>
      <c r="J811" s="10">
        <f t="shared" si="0"/>
        <v>30</v>
      </c>
      <c r="K811" s="13">
        <f t="shared" si="1"/>
        <v>0</v>
      </c>
      <c r="L811" s="14">
        <f t="shared" si="2"/>
        <v>0</v>
      </c>
    </row>
    <row r="812" spans="1:12" ht="15.75" customHeight="1">
      <c r="A812" s="8">
        <v>811</v>
      </c>
      <c r="B812" s="8" t="s">
        <v>900</v>
      </c>
      <c r="C812" s="1" t="s">
        <v>901</v>
      </c>
      <c r="D812" s="1" t="s">
        <v>940</v>
      </c>
      <c r="E812" s="1" t="s">
        <v>963</v>
      </c>
      <c r="F812" s="1" t="s">
        <v>24</v>
      </c>
      <c r="G812" s="8" t="s">
        <v>0</v>
      </c>
      <c r="H812" s="1">
        <v>30</v>
      </c>
      <c r="I812" s="10">
        <f>detail_avancement!B812</f>
        <v>0</v>
      </c>
      <c r="J812" s="10">
        <f t="shared" si="0"/>
        <v>30</v>
      </c>
      <c r="K812" s="13">
        <f t="shared" si="1"/>
        <v>0</v>
      </c>
      <c r="L812" s="14">
        <f t="shared" si="2"/>
        <v>0</v>
      </c>
    </row>
    <row r="813" spans="1:12" ht="15.75" customHeight="1">
      <c r="A813" s="8">
        <v>812</v>
      </c>
      <c r="B813" s="8" t="s">
        <v>900</v>
      </c>
      <c r="C813" s="1" t="s">
        <v>901</v>
      </c>
      <c r="D813" s="1" t="s">
        <v>940</v>
      </c>
      <c r="E813" s="1" t="s">
        <v>964</v>
      </c>
      <c r="F813" s="1" t="s">
        <v>24</v>
      </c>
      <c r="G813" s="8" t="s">
        <v>0</v>
      </c>
      <c r="H813" s="1">
        <v>30</v>
      </c>
      <c r="I813" s="10">
        <f>detail_avancement!B813</f>
        <v>0</v>
      </c>
      <c r="J813" s="10">
        <f t="shared" si="0"/>
        <v>30</v>
      </c>
      <c r="K813" s="13">
        <f t="shared" si="1"/>
        <v>0</v>
      </c>
      <c r="L813" s="14">
        <f t="shared" si="2"/>
        <v>0</v>
      </c>
    </row>
    <row r="814" spans="1:12" ht="15.75" customHeight="1">
      <c r="A814" s="8">
        <v>813</v>
      </c>
      <c r="B814" s="8" t="s">
        <v>900</v>
      </c>
      <c r="C814" s="1" t="s">
        <v>901</v>
      </c>
      <c r="D814" s="1" t="s">
        <v>940</v>
      </c>
      <c r="E814" s="1" t="s">
        <v>965</v>
      </c>
      <c r="F814" s="1" t="s">
        <v>24</v>
      </c>
      <c r="G814" s="8" t="s">
        <v>0</v>
      </c>
      <c r="H814" s="1">
        <v>30</v>
      </c>
      <c r="I814" s="10">
        <f>detail_avancement!B814</f>
        <v>0</v>
      </c>
      <c r="J814" s="10">
        <f t="shared" si="0"/>
        <v>30</v>
      </c>
      <c r="K814" s="13">
        <f t="shared" si="1"/>
        <v>0</v>
      </c>
      <c r="L814" s="14">
        <f t="shared" si="2"/>
        <v>0</v>
      </c>
    </row>
    <row r="815" spans="1:12" ht="15.75" customHeight="1">
      <c r="A815" s="8">
        <v>814</v>
      </c>
      <c r="B815" s="8" t="s">
        <v>900</v>
      </c>
      <c r="C815" s="1" t="s">
        <v>901</v>
      </c>
      <c r="D815" s="1" t="s">
        <v>940</v>
      </c>
      <c r="E815" s="1" t="s">
        <v>966</v>
      </c>
      <c r="F815" s="1" t="s">
        <v>24</v>
      </c>
      <c r="G815" s="8" t="s">
        <v>0</v>
      </c>
      <c r="H815" s="1">
        <v>30</v>
      </c>
      <c r="I815" s="10">
        <f>detail_avancement!B815</f>
        <v>0</v>
      </c>
      <c r="J815" s="10">
        <f t="shared" si="0"/>
        <v>30</v>
      </c>
      <c r="K815" s="13">
        <f t="shared" si="1"/>
        <v>0</v>
      </c>
      <c r="L815" s="14">
        <f t="shared" si="2"/>
        <v>0</v>
      </c>
    </row>
    <row r="816" spans="1:12" ht="15.75" customHeight="1">
      <c r="A816" s="8">
        <v>815</v>
      </c>
      <c r="B816" s="8" t="s">
        <v>900</v>
      </c>
      <c r="C816" s="1" t="s">
        <v>901</v>
      </c>
      <c r="D816" s="1" t="s">
        <v>940</v>
      </c>
      <c r="E816" s="1" t="s">
        <v>967</v>
      </c>
      <c r="F816" s="1" t="s">
        <v>24</v>
      </c>
      <c r="G816" s="8" t="s">
        <v>0</v>
      </c>
      <c r="H816" s="1">
        <v>30</v>
      </c>
      <c r="I816" s="10">
        <f>detail_avancement!B816</f>
        <v>0</v>
      </c>
      <c r="J816" s="10">
        <f t="shared" si="0"/>
        <v>30</v>
      </c>
      <c r="K816" s="13">
        <f t="shared" si="1"/>
        <v>0</v>
      </c>
      <c r="L816" s="14">
        <f t="shared" si="2"/>
        <v>0</v>
      </c>
    </row>
    <row r="817" spans="1:12" ht="15.75" customHeight="1">
      <c r="A817" s="8">
        <v>816</v>
      </c>
      <c r="B817" s="8" t="s">
        <v>900</v>
      </c>
      <c r="C817" s="1" t="s">
        <v>901</v>
      </c>
      <c r="D817" s="1" t="s">
        <v>940</v>
      </c>
      <c r="E817" s="1" t="s">
        <v>968</v>
      </c>
      <c r="F817" s="1" t="s">
        <v>24</v>
      </c>
      <c r="G817" s="8" t="s">
        <v>0</v>
      </c>
      <c r="H817" s="1">
        <v>30</v>
      </c>
      <c r="I817" s="10">
        <f>detail_avancement!B817</f>
        <v>0</v>
      </c>
      <c r="J817" s="10">
        <f t="shared" si="0"/>
        <v>30</v>
      </c>
      <c r="K817" s="13">
        <f t="shared" si="1"/>
        <v>0</v>
      </c>
      <c r="L817" s="14">
        <f t="shared" si="2"/>
        <v>0</v>
      </c>
    </row>
    <row r="818" spans="1:12" ht="15.75" customHeight="1">
      <c r="A818" s="8">
        <v>817</v>
      </c>
      <c r="B818" s="8" t="s">
        <v>900</v>
      </c>
      <c r="C818" s="1" t="s">
        <v>901</v>
      </c>
      <c r="D818" s="1" t="s">
        <v>940</v>
      </c>
      <c r="E818" s="1" t="s">
        <v>969</v>
      </c>
      <c r="F818" s="1" t="s">
        <v>24</v>
      </c>
      <c r="G818" s="8" t="s">
        <v>0</v>
      </c>
      <c r="H818" s="1">
        <v>30</v>
      </c>
      <c r="I818" s="10">
        <f>detail_avancement!B818</f>
        <v>0</v>
      </c>
      <c r="J818" s="10">
        <f t="shared" si="0"/>
        <v>30</v>
      </c>
      <c r="K818" s="13">
        <f t="shared" si="1"/>
        <v>0</v>
      </c>
      <c r="L818" s="14">
        <f t="shared" si="2"/>
        <v>0</v>
      </c>
    </row>
    <row r="819" spans="1:12" ht="15.75" customHeight="1">
      <c r="A819" s="8">
        <v>818</v>
      </c>
      <c r="B819" s="8" t="s">
        <v>900</v>
      </c>
      <c r="C819" s="1" t="s">
        <v>901</v>
      </c>
      <c r="D819" s="1" t="s">
        <v>940</v>
      </c>
      <c r="E819" s="1" t="s">
        <v>970</v>
      </c>
      <c r="F819" s="1" t="s">
        <v>24</v>
      </c>
      <c r="G819" s="8" t="s">
        <v>0</v>
      </c>
      <c r="H819" s="1">
        <v>30</v>
      </c>
      <c r="I819" s="10">
        <f>detail_avancement!B819</f>
        <v>0</v>
      </c>
      <c r="J819" s="10">
        <f t="shared" si="0"/>
        <v>30</v>
      </c>
      <c r="K819" s="13">
        <f t="shared" si="1"/>
        <v>0</v>
      </c>
      <c r="L819" s="14">
        <f t="shared" si="2"/>
        <v>0</v>
      </c>
    </row>
    <row r="820" spans="1:12" ht="15.75" customHeight="1">
      <c r="A820" s="8">
        <v>819</v>
      </c>
      <c r="B820" s="8" t="s">
        <v>900</v>
      </c>
      <c r="C820" s="1" t="s">
        <v>901</v>
      </c>
      <c r="D820" s="1" t="s">
        <v>940</v>
      </c>
      <c r="E820" s="1" t="s">
        <v>971</v>
      </c>
      <c r="F820" s="1" t="s">
        <v>24</v>
      </c>
      <c r="G820" s="8" t="s">
        <v>0</v>
      </c>
      <c r="H820" s="1">
        <v>30</v>
      </c>
      <c r="I820" s="10">
        <f>detail_avancement!B820</f>
        <v>0</v>
      </c>
      <c r="J820" s="10">
        <f t="shared" si="0"/>
        <v>30</v>
      </c>
      <c r="K820" s="13">
        <f t="shared" si="1"/>
        <v>0</v>
      </c>
      <c r="L820" s="14">
        <f t="shared" si="2"/>
        <v>0</v>
      </c>
    </row>
    <row r="821" spans="1:12" ht="15.75" customHeight="1">
      <c r="A821" s="8">
        <v>820</v>
      </c>
      <c r="B821" s="8" t="s">
        <v>900</v>
      </c>
      <c r="C821" s="1" t="s">
        <v>901</v>
      </c>
      <c r="D821" s="1" t="s">
        <v>940</v>
      </c>
      <c r="E821" s="1" t="s">
        <v>972</v>
      </c>
      <c r="F821" s="1" t="s">
        <v>24</v>
      </c>
      <c r="G821" s="8" t="s">
        <v>0</v>
      </c>
      <c r="H821" s="1">
        <v>30</v>
      </c>
      <c r="I821" s="10">
        <f>detail_avancement!B821</f>
        <v>0</v>
      </c>
      <c r="J821" s="10">
        <f t="shared" si="0"/>
        <v>30</v>
      </c>
      <c r="K821" s="13">
        <f t="shared" si="1"/>
        <v>0</v>
      </c>
      <c r="L821" s="14">
        <f t="shared" si="2"/>
        <v>0</v>
      </c>
    </row>
    <row r="822" spans="1:12" ht="15.75" customHeight="1">
      <c r="A822" s="8">
        <v>821</v>
      </c>
      <c r="B822" s="8" t="s">
        <v>900</v>
      </c>
      <c r="C822" s="1" t="s">
        <v>901</v>
      </c>
      <c r="D822" s="1" t="s">
        <v>940</v>
      </c>
      <c r="E822" s="1" t="s">
        <v>973</v>
      </c>
      <c r="F822" s="1" t="s">
        <v>24</v>
      </c>
      <c r="G822" s="8" t="s">
        <v>0</v>
      </c>
      <c r="H822" s="1">
        <v>30</v>
      </c>
      <c r="I822" s="10">
        <f>detail_avancement!B822</f>
        <v>0</v>
      </c>
      <c r="J822" s="10">
        <f t="shared" si="0"/>
        <v>30</v>
      </c>
      <c r="K822" s="13">
        <f t="shared" si="1"/>
        <v>0</v>
      </c>
      <c r="L822" s="14">
        <f t="shared" si="2"/>
        <v>0</v>
      </c>
    </row>
    <row r="823" spans="1:12" ht="15.75" customHeight="1">
      <c r="A823" s="8">
        <v>822</v>
      </c>
      <c r="B823" s="8" t="s">
        <v>900</v>
      </c>
      <c r="C823" s="1" t="s">
        <v>901</v>
      </c>
      <c r="D823" s="1" t="s">
        <v>940</v>
      </c>
      <c r="E823" s="1" t="s">
        <v>974</v>
      </c>
      <c r="F823" s="1" t="s">
        <v>24</v>
      </c>
      <c r="G823" s="8" t="s">
        <v>0</v>
      </c>
      <c r="H823" s="1">
        <v>30</v>
      </c>
      <c r="I823" s="10">
        <f>detail_avancement!B823</f>
        <v>0</v>
      </c>
      <c r="J823" s="10">
        <f t="shared" si="0"/>
        <v>30</v>
      </c>
      <c r="K823" s="13">
        <f t="shared" si="1"/>
        <v>0</v>
      </c>
      <c r="L823" s="14">
        <f t="shared" si="2"/>
        <v>0</v>
      </c>
    </row>
    <row r="824" spans="1:12" ht="15.75" customHeight="1">
      <c r="A824" s="8">
        <v>823</v>
      </c>
      <c r="B824" s="8" t="s">
        <v>900</v>
      </c>
      <c r="C824" s="1" t="s">
        <v>901</v>
      </c>
      <c r="D824" s="1" t="s">
        <v>940</v>
      </c>
      <c r="E824" s="1" t="s">
        <v>975</v>
      </c>
      <c r="F824" s="1" t="s">
        <v>24</v>
      </c>
      <c r="G824" s="8" t="s">
        <v>0</v>
      </c>
      <c r="H824" s="1">
        <v>30</v>
      </c>
      <c r="I824" s="10">
        <f>detail_avancement!B824</f>
        <v>0</v>
      </c>
      <c r="J824" s="10">
        <f t="shared" si="0"/>
        <v>30</v>
      </c>
      <c r="K824" s="13">
        <f t="shared" si="1"/>
        <v>0</v>
      </c>
      <c r="L824" s="14">
        <f t="shared" si="2"/>
        <v>0</v>
      </c>
    </row>
    <row r="825" spans="1:12" ht="15.75" customHeight="1">
      <c r="A825" s="8">
        <v>824</v>
      </c>
      <c r="B825" s="8" t="s">
        <v>900</v>
      </c>
      <c r="C825" s="1" t="s">
        <v>901</v>
      </c>
      <c r="D825" s="1" t="s">
        <v>940</v>
      </c>
      <c r="E825" s="1" t="s">
        <v>976</v>
      </c>
      <c r="F825" s="1" t="s">
        <v>24</v>
      </c>
      <c r="G825" s="8" t="s">
        <v>0</v>
      </c>
      <c r="H825" s="1">
        <v>30</v>
      </c>
      <c r="I825" s="10">
        <f>detail_avancement!B825</f>
        <v>0</v>
      </c>
      <c r="J825" s="10">
        <f t="shared" si="0"/>
        <v>30</v>
      </c>
      <c r="K825" s="13">
        <f t="shared" si="1"/>
        <v>0</v>
      </c>
      <c r="L825" s="14">
        <f t="shared" si="2"/>
        <v>0</v>
      </c>
    </row>
    <row r="826" spans="1:12" ht="15.75" customHeight="1">
      <c r="A826" s="8">
        <v>825</v>
      </c>
      <c r="B826" s="8" t="s">
        <v>900</v>
      </c>
      <c r="C826" s="1" t="s">
        <v>901</v>
      </c>
      <c r="D826" s="1" t="s">
        <v>940</v>
      </c>
      <c r="E826" s="1" t="s">
        <v>977</v>
      </c>
      <c r="F826" s="1" t="s">
        <v>24</v>
      </c>
      <c r="G826" s="8" t="s">
        <v>0</v>
      </c>
      <c r="H826" s="1">
        <v>30</v>
      </c>
      <c r="I826" s="10">
        <f>detail_avancement!B826</f>
        <v>0</v>
      </c>
      <c r="J826" s="10">
        <f t="shared" si="0"/>
        <v>30</v>
      </c>
      <c r="K826" s="13">
        <f t="shared" si="1"/>
        <v>0</v>
      </c>
      <c r="L826" s="14">
        <f t="shared" si="2"/>
        <v>0</v>
      </c>
    </row>
    <row r="827" spans="1:12" ht="15.75" customHeight="1">
      <c r="A827" s="8">
        <v>826</v>
      </c>
      <c r="B827" s="8" t="s">
        <v>900</v>
      </c>
      <c r="C827" s="1" t="s">
        <v>901</v>
      </c>
      <c r="D827" s="1" t="s">
        <v>940</v>
      </c>
      <c r="E827" s="1" t="s">
        <v>978</v>
      </c>
      <c r="F827" s="1" t="s">
        <v>24</v>
      </c>
      <c r="G827" s="8" t="s">
        <v>0</v>
      </c>
      <c r="H827" s="1">
        <v>30</v>
      </c>
      <c r="I827" s="10">
        <f>detail_avancement!B827</f>
        <v>0</v>
      </c>
      <c r="J827" s="10">
        <f t="shared" si="0"/>
        <v>30</v>
      </c>
      <c r="K827" s="13">
        <f t="shared" si="1"/>
        <v>0</v>
      </c>
      <c r="L827" s="14">
        <f t="shared" si="2"/>
        <v>0</v>
      </c>
    </row>
    <row r="828" spans="1:12" ht="15.75" customHeight="1">
      <c r="A828" s="8">
        <v>827</v>
      </c>
      <c r="B828" s="8" t="s">
        <v>900</v>
      </c>
      <c r="C828" s="1" t="s">
        <v>901</v>
      </c>
      <c r="D828" s="1" t="s">
        <v>940</v>
      </c>
      <c r="E828" s="1" t="s">
        <v>979</v>
      </c>
      <c r="F828" s="1" t="s">
        <v>24</v>
      </c>
      <c r="G828" s="8" t="s">
        <v>0</v>
      </c>
      <c r="H828" s="1">
        <v>30</v>
      </c>
      <c r="I828" s="10">
        <f>detail_avancement!B828</f>
        <v>0</v>
      </c>
      <c r="J828" s="10">
        <f t="shared" si="0"/>
        <v>30</v>
      </c>
      <c r="K828" s="13">
        <f t="shared" si="1"/>
        <v>0</v>
      </c>
      <c r="L828" s="14">
        <f t="shared" si="2"/>
        <v>0</v>
      </c>
    </row>
    <row r="829" spans="1:12" ht="15.75" customHeight="1">
      <c r="A829" s="8">
        <v>828</v>
      </c>
      <c r="B829" s="8" t="s">
        <v>900</v>
      </c>
      <c r="C829" s="1" t="s">
        <v>901</v>
      </c>
      <c r="D829" s="1" t="s">
        <v>940</v>
      </c>
      <c r="E829" s="1" t="s">
        <v>980</v>
      </c>
      <c r="F829" s="1" t="s">
        <v>24</v>
      </c>
      <c r="G829" s="8" t="s">
        <v>0</v>
      </c>
      <c r="H829" s="1">
        <v>30</v>
      </c>
      <c r="I829" s="10">
        <f>detail_avancement!B829</f>
        <v>0</v>
      </c>
      <c r="J829" s="10">
        <f t="shared" si="0"/>
        <v>30</v>
      </c>
      <c r="K829" s="13">
        <f t="shared" si="1"/>
        <v>0</v>
      </c>
      <c r="L829" s="14">
        <f t="shared" si="2"/>
        <v>0</v>
      </c>
    </row>
    <row r="830" spans="1:12" ht="15.75" customHeight="1">
      <c r="A830" s="8">
        <v>829</v>
      </c>
      <c r="B830" s="8" t="s">
        <v>900</v>
      </c>
      <c r="C830" s="1" t="s">
        <v>901</v>
      </c>
      <c r="D830" s="1" t="s">
        <v>940</v>
      </c>
      <c r="E830" s="1" t="s">
        <v>981</v>
      </c>
      <c r="F830" s="1" t="s">
        <v>24</v>
      </c>
      <c r="G830" s="8" t="s">
        <v>0</v>
      </c>
      <c r="H830" s="1">
        <v>30</v>
      </c>
      <c r="I830" s="10">
        <f>detail_avancement!B830</f>
        <v>0</v>
      </c>
      <c r="J830" s="10">
        <f t="shared" si="0"/>
        <v>30</v>
      </c>
      <c r="K830" s="13">
        <f t="shared" si="1"/>
        <v>0</v>
      </c>
      <c r="L830" s="14">
        <f t="shared" si="2"/>
        <v>0</v>
      </c>
    </row>
    <row r="831" spans="1:12" ht="15.75" customHeight="1">
      <c r="A831" s="8">
        <v>830</v>
      </c>
      <c r="B831" s="8" t="s">
        <v>900</v>
      </c>
      <c r="C831" s="1" t="s">
        <v>901</v>
      </c>
      <c r="D831" s="1" t="s">
        <v>940</v>
      </c>
      <c r="E831" s="1" t="s">
        <v>982</v>
      </c>
      <c r="F831" s="1" t="s">
        <v>24</v>
      </c>
      <c r="G831" s="8" t="s">
        <v>0</v>
      </c>
      <c r="H831" s="1">
        <v>30</v>
      </c>
      <c r="I831" s="10">
        <f>detail_avancement!B831</f>
        <v>0</v>
      </c>
      <c r="J831" s="10">
        <f t="shared" si="0"/>
        <v>30</v>
      </c>
      <c r="K831" s="13">
        <f t="shared" si="1"/>
        <v>0</v>
      </c>
      <c r="L831" s="14">
        <f t="shared" si="2"/>
        <v>0</v>
      </c>
    </row>
    <row r="832" spans="1:12" ht="15.75" customHeight="1">
      <c r="A832" s="8">
        <v>831</v>
      </c>
      <c r="B832" s="8" t="s">
        <v>900</v>
      </c>
      <c r="C832" s="1" t="s">
        <v>901</v>
      </c>
      <c r="D832" s="1" t="s">
        <v>983</v>
      </c>
      <c r="E832" s="1" t="s">
        <v>984</v>
      </c>
      <c r="F832" s="1" t="s">
        <v>24</v>
      </c>
      <c r="G832" s="8" t="s">
        <v>0</v>
      </c>
      <c r="H832" s="1">
        <v>30</v>
      </c>
      <c r="I832" s="10">
        <f>detail_avancement!B832</f>
        <v>0</v>
      </c>
      <c r="J832" s="10">
        <f t="shared" si="0"/>
        <v>30</v>
      </c>
      <c r="K832" s="13">
        <f t="shared" si="1"/>
        <v>0</v>
      </c>
      <c r="L832" s="14">
        <f t="shared" si="2"/>
        <v>0</v>
      </c>
    </row>
    <row r="833" spans="1:12" ht="15.75" customHeight="1">
      <c r="A833" s="8">
        <v>832</v>
      </c>
      <c r="B833" s="8" t="s">
        <v>900</v>
      </c>
      <c r="C833" s="1" t="s">
        <v>901</v>
      </c>
      <c r="D833" s="1" t="s">
        <v>983</v>
      </c>
      <c r="E833" s="1" t="s">
        <v>985</v>
      </c>
      <c r="F833" s="1" t="s">
        <v>24</v>
      </c>
      <c r="G833" s="8" t="s">
        <v>0</v>
      </c>
      <c r="H833" s="1">
        <v>30</v>
      </c>
      <c r="I833" s="10">
        <f>detail_avancement!B833</f>
        <v>0</v>
      </c>
      <c r="J833" s="10">
        <f t="shared" si="0"/>
        <v>30</v>
      </c>
      <c r="K833" s="13">
        <f t="shared" si="1"/>
        <v>0</v>
      </c>
      <c r="L833" s="14">
        <f t="shared" si="2"/>
        <v>0</v>
      </c>
    </row>
    <row r="834" spans="1:12" ht="15.75" customHeight="1">
      <c r="A834" s="8">
        <v>833</v>
      </c>
      <c r="B834" s="8" t="s">
        <v>900</v>
      </c>
      <c r="C834" s="1" t="s">
        <v>901</v>
      </c>
      <c r="D834" s="1" t="s">
        <v>983</v>
      </c>
      <c r="E834" s="1" t="s">
        <v>986</v>
      </c>
      <c r="F834" s="1" t="s">
        <v>24</v>
      </c>
      <c r="G834" s="8" t="s">
        <v>0</v>
      </c>
      <c r="H834" s="1">
        <v>30</v>
      </c>
      <c r="I834" s="10">
        <f>detail_avancement!B834</f>
        <v>0</v>
      </c>
      <c r="J834" s="10">
        <f t="shared" si="0"/>
        <v>30</v>
      </c>
      <c r="K834" s="13">
        <f t="shared" si="1"/>
        <v>0</v>
      </c>
      <c r="L834" s="14">
        <f t="shared" si="2"/>
        <v>0</v>
      </c>
    </row>
    <row r="835" spans="1:12" ht="15.75" customHeight="1">
      <c r="A835" s="8">
        <v>834</v>
      </c>
      <c r="B835" s="8" t="s">
        <v>900</v>
      </c>
      <c r="C835" s="1" t="s">
        <v>901</v>
      </c>
      <c r="D835" s="1" t="s">
        <v>983</v>
      </c>
      <c r="E835" s="1" t="s">
        <v>987</v>
      </c>
      <c r="F835" s="1" t="s">
        <v>24</v>
      </c>
      <c r="G835" s="8" t="s">
        <v>0</v>
      </c>
      <c r="H835" s="1">
        <v>30</v>
      </c>
      <c r="I835" s="10">
        <f>detail_avancement!B835</f>
        <v>0</v>
      </c>
      <c r="J835" s="10">
        <f t="shared" si="0"/>
        <v>30</v>
      </c>
      <c r="K835" s="13">
        <f t="shared" si="1"/>
        <v>0</v>
      </c>
      <c r="L835" s="14">
        <f t="shared" si="2"/>
        <v>0</v>
      </c>
    </row>
    <row r="836" spans="1:12" ht="15.75" customHeight="1">
      <c r="A836" s="8">
        <v>835</v>
      </c>
      <c r="B836" s="8" t="s">
        <v>900</v>
      </c>
      <c r="C836" s="1" t="s">
        <v>901</v>
      </c>
      <c r="D836" s="1" t="s">
        <v>983</v>
      </c>
      <c r="E836" s="1" t="s">
        <v>988</v>
      </c>
      <c r="F836" s="1" t="s">
        <v>24</v>
      </c>
      <c r="G836" s="8" t="s">
        <v>0</v>
      </c>
      <c r="H836" s="1">
        <v>30</v>
      </c>
      <c r="I836" s="10">
        <f>detail_avancement!B836</f>
        <v>0</v>
      </c>
      <c r="J836" s="10">
        <f t="shared" si="0"/>
        <v>30</v>
      </c>
      <c r="K836" s="13">
        <f t="shared" si="1"/>
        <v>0</v>
      </c>
      <c r="L836" s="14">
        <f t="shared" si="2"/>
        <v>0</v>
      </c>
    </row>
    <row r="837" spans="1:12" ht="15.75" customHeight="1">
      <c r="A837" s="8">
        <v>836</v>
      </c>
      <c r="B837" s="8" t="s">
        <v>900</v>
      </c>
      <c r="C837" s="1" t="s">
        <v>901</v>
      </c>
      <c r="D837" s="1" t="s">
        <v>983</v>
      </c>
      <c r="E837" s="1" t="s">
        <v>989</v>
      </c>
      <c r="F837" s="1" t="s">
        <v>24</v>
      </c>
      <c r="G837" s="8" t="s">
        <v>0</v>
      </c>
      <c r="H837" s="1">
        <v>30</v>
      </c>
      <c r="I837" s="10">
        <f>detail_avancement!B837</f>
        <v>0</v>
      </c>
      <c r="J837" s="10">
        <f t="shared" si="0"/>
        <v>30</v>
      </c>
      <c r="K837" s="13">
        <f t="shared" si="1"/>
        <v>0</v>
      </c>
      <c r="L837" s="14">
        <f t="shared" si="2"/>
        <v>0</v>
      </c>
    </row>
    <row r="838" spans="1:12" ht="15.75" customHeight="1">
      <c r="A838" s="8">
        <v>837</v>
      </c>
      <c r="B838" s="8" t="s">
        <v>900</v>
      </c>
      <c r="C838" s="1" t="s">
        <v>901</v>
      </c>
      <c r="D838" s="1" t="s">
        <v>990</v>
      </c>
      <c r="E838" s="1" t="s">
        <v>991</v>
      </c>
      <c r="F838" s="1" t="s">
        <v>24</v>
      </c>
      <c r="G838" s="8" t="s">
        <v>0</v>
      </c>
      <c r="H838" s="1">
        <v>30</v>
      </c>
      <c r="I838" s="10">
        <f>detail_avancement!B838</f>
        <v>0</v>
      </c>
      <c r="J838" s="10">
        <f t="shared" si="0"/>
        <v>30</v>
      </c>
      <c r="K838" s="13">
        <f t="shared" si="1"/>
        <v>0</v>
      </c>
      <c r="L838" s="14">
        <f t="shared" si="2"/>
        <v>0</v>
      </c>
    </row>
    <row r="839" spans="1:12" ht="15.75" customHeight="1">
      <c r="A839" s="8">
        <v>838</v>
      </c>
      <c r="B839" s="8" t="s">
        <v>900</v>
      </c>
      <c r="C839" s="1" t="s">
        <v>901</v>
      </c>
      <c r="D839" s="1" t="s">
        <v>990</v>
      </c>
      <c r="E839" s="1" t="s">
        <v>992</v>
      </c>
      <c r="F839" s="1" t="s">
        <v>24</v>
      </c>
      <c r="G839" s="8" t="s">
        <v>0</v>
      </c>
      <c r="H839" s="1">
        <v>30</v>
      </c>
      <c r="I839" s="10">
        <f>detail_avancement!B839</f>
        <v>0</v>
      </c>
      <c r="J839" s="10">
        <f t="shared" si="0"/>
        <v>30</v>
      </c>
      <c r="K839" s="13">
        <f t="shared" si="1"/>
        <v>0</v>
      </c>
      <c r="L839" s="14">
        <f t="shared" si="2"/>
        <v>0</v>
      </c>
    </row>
    <row r="840" spans="1:12" ht="15.75" customHeight="1">
      <c r="A840" s="8">
        <v>839</v>
      </c>
      <c r="B840" s="8" t="s">
        <v>900</v>
      </c>
      <c r="C840" s="1" t="s">
        <v>901</v>
      </c>
      <c r="D840" s="1" t="s">
        <v>990</v>
      </c>
      <c r="E840" s="1" t="s">
        <v>993</v>
      </c>
      <c r="F840" s="1" t="s">
        <v>24</v>
      </c>
      <c r="G840" s="8" t="s">
        <v>0</v>
      </c>
      <c r="H840" s="1">
        <v>30</v>
      </c>
      <c r="I840" s="10">
        <f>detail_avancement!B840</f>
        <v>0</v>
      </c>
      <c r="J840" s="10">
        <f t="shared" si="0"/>
        <v>30</v>
      </c>
      <c r="K840" s="13">
        <f t="shared" si="1"/>
        <v>0</v>
      </c>
      <c r="L840" s="14">
        <f t="shared" si="2"/>
        <v>0</v>
      </c>
    </row>
    <row r="841" spans="1:12" ht="15.75" customHeight="1">
      <c r="A841" s="8">
        <v>840</v>
      </c>
      <c r="B841" s="8" t="s">
        <v>900</v>
      </c>
      <c r="C841" s="1" t="s">
        <v>901</v>
      </c>
      <c r="D841" s="1" t="s">
        <v>990</v>
      </c>
      <c r="E841" s="1" t="s">
        <v>994</v>
      </c>
      <c r="F841" s="1" t="s">
        <v>24</v>
      </c>
      <c r="G841" s="8" t="s">
        <v>0</v>
      </c>
      <c r="H841" s="1">
        <v>30</v>
      </c>
      <c r="I841" s="10">
        <f>detail_avancement!B841</f>
        <v>0</v>
      </c>
      <c r="J841" s="10">
        <f t="shared" si="0"/>
        <v>30</v>
      </c>
      <c r="K841" s="13">
        <f t="shared" si="1"/>
        <v>0</v>
      </c>
      <c r="L841" s="14">
        <f t="shared" si="2"/>
        <v>0</v>
      </c>
    </row>
    <row r="842" spans="1:12" ht="15.75" customHeight="1">
      <c r="A842" s="8">
        <v>841</v>
      </c>
      <c r="B842" s="8" t="s">
        <v>900</v>
      </c>
      <c r="C842" s="1" t="s">
        <v>901</v>
      </c>
      <c r="D842" s="1" t="s">
        <v>990</v>
      </c>
      <c r="E842" s="1" t="s">
        <v>995</v>
      </c>
      <c r="F842" s="1" t="s">
        <v>24</v>
      </c>
      <c r="G842" s="8" t="s">
        <v>0</v>
      </c>
      <c r="H842" s="1">
        <v>30</v>
      </c>
      <c r="I842" s="10">
        <f>detail_avancement!B842</f>
        <v>0</v>
      </c>
      <c r="J842" s="10">
        <f t="shared" si="0"/>
        <v>30</v>
      </c>
      <c r="K842" s="13">
        <f t="shared" si="1"/>
        <v>0</v>
      </c>
      <c r="L842" s="14">
        <f t="shared" si="2"/>
        <v>0</v>
      </c>
    </row>
    <row r="843" spans="1:12" ht="15.75" customHeight="1">
      <c r="A843" s="8">
        <v>842</v>
      </c>
      <c r="B843" s="8" t="s">
        <v>900</v>
      </c>
      <c r="C843" s="1" t="s">
        <v>901</v>
      </c>
      <c r="D843" s="1" t="s">
        <v>990</v>
      </c>
      <c r="E843" s="1" t="s">
        <v>996</v>
      </c>
      <c r="F843" s="1" t="s">
        <v>24</v>
      </c>
      <c r="G843" s="8" t="s">
        <v>0</v>
      </c>
      <c r="H843" s="1">
        <v>30</v>
      </c>
      <c r="I843" s="10">
        <f>detail_avancement!B843</f>
        <v>0</v>
      </c>
      <c r="J843" s="10">
        <f t="shared" si="0"/>
        <v>30</v>
      </c>
      <c r="K843" s="13">
        <f t="shared" si="1"/>
        <v>0</v>
      </c>
      <c r="L843" s="14">
        <f t="shared" si="2"/>
        <v>0</v>
      </c>
    </row>
    <row r="844" spans="1:12" ht="15.75" customHeight="1">
      <c r="A844" s="8">
        <v>843</v>
      </c>
      <c r="B844" s="8" t="s">
        <v>900</v>
      </c>
      <c r="C844" s="1" t="s">
        <v>901</v>
      </c>
      <c r="D844" s="1" t="s">
        <v>997</v>
      </c>
      <c r="E844" s="1" t="s">
        <v>998</v>
      </c>
      <c r="F844" s="1" t="s">
        <v>24</v>
      </c>
      <c r="G844" s="8" t="s">
        <v>0</v>
      </c>
      <c r="H844" s="1">
        <v>30</v>
      </c>
      <c r="I844" s="10">
        <f>detail_avancement!B844</f>
        <v>0</v>
      </c>
      <c r="J844" s="10">
        <f t="shared" si="0"/>
        <v>30</v>
      </c>
      <c r="K844" s="13">
        <f t="shared" si="1"/>
        <v>0</v>
      </c>
      <c r="L844" s="14">
        <f t="shared" si="2"/>
        <v>0</v>
      </c>
    </row>
    <row r="845" spans="1:12" ht="15.75" customHeight="1">
      <c r="A845" s="8">
        <v>844</v>
      </c>
      <c r="B845" s="8" t="s">
        <v>900</v>
      </c>
      <c r="C845" s="1" t="s">
        <v>901</v>
      </c>
      <c r="D845" s="1" t="s">
        <v>997</v>
      </c>
      <c r="E845" s="1" t="s">
        <v>999</v>
      </c>
      <c r="F845" s="1" t="s">
        <v>24</v>
      </c>
      <c r="G845" s="8" t="s">
        <v>0</v>
      </c>
      <c r="H845" s="1">
        <v>30</v>
      </c>
      <c r="I845" s="10">
        <f>detail_avancement!B845</f>
        <v>0</v>
      </c>
      <c r="J845" s="10">
        <f t="shared" si="0"/>
        <v>30</v>
      </c>
      <c r="K845" s="13">
        <f t="shared" si="1"/>
        <v>0</v>
      </c>
      <c r="L845" s="14">
        <f t="shared" si="2"/>
        <v>0</v>
      </c>
    </row>
    <row r="846" spans="1:12" ht="15.75" customHeight="1">
      <c r="A846" s="8">
        <v>845</v>
      </c>
      <c r="B846" s="8" t="s">
        <v>900</v>
      </c>
      <c r="C846" s="1" t="s">
        <v>901</v>
      </c>
      <c r="D846" s="1" t="s">
        <v>997</v>
      </c>
      <c r="E846" s="1" t="s">
        <v>1000</v>
      </c>
      <c r="F846" s="1" t="s">
        <v>24</v>
      </c>
      <c r="G846" s="8" t="s">
        <v>0</v>
      </c>
      <c r="H846" s="1">
        <v>30</v>
      </c>
      <c r="I846" s="10">
        <f>detail_avancement!B846</f>
        <v>0</v>
      </c>
      <c r="J846" s="10">
        <f t="shared" si="0"/>
        <v>30</v>
      </c>
      <c r="K846" s="13">
        <f t="shared" si="1"/>
        <v>0</v>
      </c>
      <c r="L846" s="14">
        <f t="shared" si="2"/>
        <v>0</v>
      </c>
    </row>
    <row r="847" spans="1:12" ht="15.75" customHeight="1">
      <c r="A847" s="8">
        <v>846</v>
      </c>
      <c r="B847" s="8" t="s">
        <v>900</v>
      </c>
      <c r="C847" s="1" t="s">
        <v>901</v>
      </c>
      <c r="D847" s="1" t="s">
        <v>1001</v>
      </c>
      <c r="E847" s="1" t="s">
        <v>1002</v>
      </c>
      <c r="F847" s="1" t="s">
        <v>24</v>
      </c>
      <c r="G847" s="8" t="s">
        <v>0</v>
      </c>
      <c r="H847" s="1">
        <v>15</v>
      </c>
      <c r="I847" s="10">
        <f>detail_avancement!B847</f>
        <v>0</v>
      </c>
      <c r="J847" s="10">
        <f t="shared" si="0"/>
        <v>15</v>
      </c>
      <c r="K847" s="13">
        <f t="shared" si="1"/>
        <v>0</v>
      </c>
      <c r="L847" s="14">
        <f t="shared" si="2"/>
        <v>0</v>
      </c>
    </row>
    <row r="848" spans="1:12" ht="15.75" customHeight="1">
      <c r="A848" s="8">
        <v>847</v>
      </c>
      <c r="B848" s="8" t="s">
        <v>900</v>
      </c>
      <c r="C848" s="1" t="s">
        <v>901</v>
      </c>
      <c r="D848" s="1" t="s">
        <v>1001</v>
      </c>
      <c r="E848" s="1" t="s">
        <v>1003</v>
      </c>
      <c r="F848" s="1" t="s">
        <v>24</v>
      </c>
      <c r="G848" s="8" t="s">
        <v>0</v>
      </c>
      <c r="H848" s="1">
        <v>30</v>
      </c>
      <c r="I848" s="10">
        <f>detail_avancement!B848</f>
        <v>0</v>
      </c>
      <c r="J848" s="10">
        <f t="shared" si="0"/>
        <v>30</v>
      </c>
      <c r="K848" s="13">
        <f t="shared" si="1"/>
        <v>0</v>
      </c>
      <c r="L848" s="14">
        <f t="shared" si="2"/>
        <v>0</v>
      </c>
    </row>
    <row r="849" spans="1:12" ht="15.75" customHeight="1">
      <c r="A849" s="8">
        <v>848</v>
      </c>
      <c r="B849" s="8" t="s">
        <v>900</v>
      </c>
      <c r="C849" s="1" t="s">
        <v>901</v>
      </c>
      <c r="D849" s="1" t="s">
        <v>1001</v>
      </c>
      <c r="E849" s="1" t="s">
        <v>1004</v>
      </c>
      <c r="F849" s="1" t="s">
        <v>24</v>
      </c>
      <c r="G849" s="8" t="s">
        <v>0</v>
      </c>
      <c r="H849" s="1">
        <v>30</v>
      </c>
      <c r="I849" s="10">
        <f>detail_avancement!B849</f>
        <v>0</v>
      </c>
      <c r="J849" s="10">
        <f t="shared" si="0"/>
        <v>30</v>
      </c>
      <c r="K849" s="13">
        <f t="shared" si="1"/>
        <v>0</v>
      </c>
      <c r="L849" s="14">
        <f t="shared" si="2"/>
        <v>0</v>
      </c>
    </row>
    <row r="850" spans="1:12" ht="15.75" customHeight="1">
      <c r="A850" s="8">
        <v>849</v>
      </c>
      <c r="B850" s="8" t="s">
        <v>900</v>
      </c>
      <c r="C850" s="1" t="s">
        <v>901</v>
      </c>
      <c r="D850" s="1" t="s">
        <v>1001</v>
      </c>
      <c r="E850" s="1" t="s">
        <v>1005</v>
      </c>
      <c r="F850" s="1" t="s">
        <v>24</v>
      </c>
      <c r="G850" s="8" t="s">
        <v>0</v>
      </c>
      <c r="H850" s="1">
        <v>15</v>
      </c>
      <c r="I850" s="10">
        <f>detail_avancement!B850</f>
        <v>0</v>
      </c>
      <c r="J850" s="10">
        <f t="shared" si="0"/>
        <v>15</v>
      </c>
      <c r="K850" s="13">
        <f t="shared" si="1"/>
        <v>0</v>
      </c>
      <c r="L850" s="14">
        <f t="shared" si="2"/>
        <v>0</v>
      </c>
    </row>
    <row r="851" spans="1:12" ht="15.75" customHeight="1">
      <c r="A851" s="8">
        <v>850</v>
      </c>
      <c r="B851" s="8" t="s">
        <v>900</v>
      </c>
      <c r="C851" s="1" t="s">
        <v>901</v>
      </c>
      <c r="D851" s="1" t="s">
        <v>1001</v>
      </c>
      <c r="E851" s="1" t="s">
        <v>1006</v>
      </c>
      <c r="F851" s="1" t="s">
        <v>24</v>
      </c>
      <c r="G851" s="8" t="s">
        <v>0</v>
      </c>
      <c r="H851" s="1">
        <v>15</v>
      </c>
      <c r="I851" s="10">
        <f>detail_avancement!B851</f>
        <v>0</v>
      </c>
      <c r="J851" s="10">
        <f t="shared" si="0"/>
        <v>15</v>
      </c>
      <c r="K851" s="13">
        <f t="shared" si="1"/>
        <v>0</v>
      </c>
      <c r="L851" s="14">
        <f t="shared" si="2"/>
        <v>0</v>
      </c>
    </row>
    <row r="852" spans="1:12" ht="15.75" customHeight="1">
      <c r="A852" s="8">
        <v>851</v>
      </c>
      <c r="B852" s="8" t="s">
        <v>900</v>
      </c>
      <c r="C852" s="1" t="s">
        <v>901</v>
      </c>
      <c r="D852" s="1" t="s">
        <v>1001</v>
      </c>
      <c r="E852" s="1" t="s">
        <v>1007</v>
      </c>
      <c r="F852" s="1" t="s">
        <v>24</v>
      </c>
      <c r="G852" s="8" t="s">
        <v>0</v>
      </c>
      <c r="H852" s="1">
        <v>15</v>
      </c>
      <c r="I852" s="10">
        <f>detail_avancement!B852</f>
        <v>0</v>
      </c>
      <c r="J852" s="10">
        <f t="shared" si="0"/>
        <v>15</v>
      </c>
      <c r="K852" s="13">
        <f t="shared" si="1"/>
        <v>0</v>
      </c>
      <c r="L852" s="14">
        <f t="shared" si="2"/>
        <v>0</v>
      </c>
    </row>
    <row r="853" spans="1:12" ht="15.75" customHeight="1">
      <c r="A853" s="8">
        <v>852</v>
      </c>
      <c r="B853" s="8" t="s">
        <v>900</v>
      </c>
      <c r="C853" s="1" t="s">
        <v>901</v>
      </c>
      <c r="D853" s="1" t="s">
        <v>1008</v>
      </c>
      <c r="E853" s="1" t="s">
        <v>1009</v>
      </c>
      <c r="F853" s="1" t="s">
        <v>24</v>
      </c>
      <c r="G853" s="8" t="s">
        <v>0</v>
      </c>
      <c r="H853" s="1">
        <v>30</v>
      </c>
      <c r="I853" s="10">
        <f>detail_avancement!B853</f>
        <v>0</v>
      </c>
      <c r="J853" s="10">
        <f t="shared" si="0"/>
        <v>30</v>
      </c>
      <c r="K853" s="13">
        <f t="shared" si="1"/>
        <v>0</v>
      </c>
      <c r="L853" s="14">
        <f t="shared" si="2"/>
        <v>0</v>
      </c>
    </row>
    <row r="854" spans="1:12" ht="15.75" customHeight="1">
      <c r="A854" s="8">
        <v>853</v>
      </c>
      <c r="B854" s="8" t="s">
        <v>900</v>
      </c>
      <c r="C854" s="1" t="s">
        <v>901</v>
      </c>
      <c r="D854" s="1" t="s">
        <v>1008</v>
      </c>
      <c r="E854" s="1" t="s">
        <v>1010</v>
      </c>
      <c r="F854" s="1" t="s">
        <v>24</v>
      </c>
      <c r="G854" s="8" t="s">
        <v>0</v>
      </c>
      <c r="H854" s="1">
        <v>30</v>
      </c>
      <c r="I854" s="10">
        <f>detail_avancement!B854</f>
        <v>0</v>
      </c>
      <c r="J854" s="10">
        <f t="shared" si="0"/>
        <v>30</v>
      </c>
      <c r="K854" s="13">
        <f t="shared" si="1"/>
        <v>0</v>
      </c>
      <c r="L854" s="14">
        <f t="shared" si="2"/>
        <v>0</v>
      </c>
    </row>
    <row r="855" spans="1:12" ht="15.75" customHeight="1">
      <c r="A855" s="8">
        <v>854</v>
      </c>
      <c r="B855" s="8" t="s">
        <v>900</v>
      </c>
      <c r="C855" s="1" t="s">
        <v>901</v>
      </c>
      <c r="D855" s="1" t="s">
        <v>1011</v>
      </c>
      <c r="E855" s="1" t="s">
        <v>1012</v>
      </c>
      <c r="F855" s="1" t="s">
        <v>24</v>
      </c>
      <c r="G855" s="8" t="s">
        <v>0</v>
      </c>
      <c r="H855" s="1">
        <v>30</v>
      </c>
      <c r="I855" s="10">
        <f>detail_avancement!B855</f>
        <v>0</v>
      </c>
      <c r="J855" s="10">
        <f t="shared" si="0"/>
        <v>30</v>
      </c>
      <c r="K855" s="13">
        <f t="shared" si="1"/>
        <v>0</v>
      </c>
      <c r="L855" s="14">
        <f t="shared" si="2"/>
        <v>0</v>
      </c>
    </row>
    <row r="856" spans="1:12" ht="15.75" customHeight="1">
      <c r="A856" s="8">
        <v>855</v>
      </c>
      <c r="B856" s="8" t="s">
        <v>900</v>
      </c>
      <c r="C856" s="1" t="s">
        <v>901</v>
      </c>
      <c r="D856" s="1" t="s">
        <v>1011</v>
      </c>
      <c r="E856" s="1" t="s">
        <v>1013</v>
      </c>
      <c r="F856" s="1" t="s">
        <v>24</v>
      </c>
      <c r="G856" s="8" t="s">
        <v>0</v>
      </c>
      <c r="H856" s="1">
        <v>30</v>
      </c>
      <c r="I856" s="10">
        <f>detail_avancement!B856</f>
        <v>0</v>
      </c>
      <c r="J856" s="10">
        <f t="shared" si="0"/>
        <v>30</v>
      </c>
      <c r="K856" s="13">
        <f t="shared" si="1"/>
        <v>0</v>
      </c>
      <c r="L856" s="14">
        <f t="shared" si="2"/>
        <v>0</v>
      </c>
    </row>
    <row r="857" spans="1:12" ht="15.75" customHeight="1">
      <c r="A857" s="8">
        <v>856</v>
      </c>
      <c r="B857" s="8" t="s">
        <v>900</v>
      </c>
      <c r="C857" s="1" t="s">
        <v>901</v>
      </c>
      <c r="D857" s="1" t="s">
        <v>1014</v>
      </c>
      <c r="E857" s="1" t="s">
        <v>1015</v>
      </c>
      <c r="F857" s="1" t="s">
        <v>24</v>
      </c>
      <c r="G857" s="8" t="s">
        <v>0</v>
      </c>
      <c r="H857" s="1">
        <v>30</v>
      </c>
      <c r="I857" s="10">
        <f>detail_avancement!B857</f>
        <v>0</v>
      </c>
      <c r="J857" s="10">
        <f t="shared" si="0"/>
        <v>30</v>
      </c>
      <c r="K857" s="13">
        <f t="shared" si="1"/>
        <v>0</v>
      </c>
      <c r="L857" s="14">
        <f t="shared" si="2"/>
        <v>0</v>
      </c>
    </row>
    <row r="858" spans="1:12" ht="15.75" customHeight="1">
      <c r="A858" s="8">
        <v>857</v>
      </c>
      <c r="B858" s="8" t="s">
        <v>900</v>
      </c>
      <c r="C858" s="1" t="s">
        <v>901</v>
      </c>
      <c r="D858" s="1" t="s">
        <v>1014</v>
      </c>
      <c r="E858" s="1" t="s">
        <v>1016</v>
      </c>
      <c r="F858" s="1" t="s">
        <v>24</v>
      </c>
      <c r="G858" s="8" t="s">
        <v>0</v>
      </c>
      <c r="H858" s="1">
        <v>30</v>
      </c>
      <c r="I858" s="10">
        <f>detail_avancement!B858</f>
        <v>0</v>
      </c>
      <c r="J858" s="10">
        <f t="shared" si="0"/>
        <v>30</v>
      </c>
      <c r="K858" s="13">
        <f t="shared" si="1"/>
        <v>0</v>
      </c>
      <c r="L858" s="14">
        <f t="shared" si="2"/>
        <v>0</v>
      </c>
    </row>
    <row r="859" spans="1:12" ht="15.75" customHeight="1">
      <c r="A859" s="8">
        <v>858</v>
      </c>
      <c r="B859" s="8" t="s">
        <v>900</v>
      </c>
      <c r="C859" s="1" t="s">
        <v>901</v>
      </c>
      <c r="D859" s="1" t="s">
        <v>1014</v>
      </c>
      <c r="E859" s="1" t="s">
        <v>1017</v>
      </c>
      <c r="F859" s="1" t="s">
        <v>24</v>
      </c>
      <c r="G859" s="8" t="s">
        <v>0</v>
      </c>
      <c r="H859" s="1">
        <v>30</v>
      </c>
      <c r="I859" s="10">
        <f>detail_avancement!B859</f>
        <v>0</v>
      </c>
      <c r="J859" s="10">
        <f t="shared" si="0"/>
        <v>30</v>
      </c>
      <c r="K859" s="13">
        <f t="shared" si="1"/>
        <v>0</v>
      </c>
      <c r="L859" s="14">
        <f t="shared" si="2"/>
        <v>0</v>
      </c>
    </row>
    <row r="860" spans="1:12" ht="15.75" customHeight="1">
      <c r="A860" s="8">
        <v>859</v>
      </c>
      <c r="B860" s="8" t="s">
        <v>900</v>
      </c>
      <c r="C860" s="1" t="s">
        <v>901</v>
      </c>
      <c r="D860" s="1" t="s">
        <v>1018</v>
      </c>
      <c r="E860" s="1" t="s">
        <v>1019</v>
      </c>
      <c r="F860" s="1" t="s">
        <v>24</v>
      </c>
      <c r="G860" s="8" t="s">
        <v>0</v>
      </c>
      <c r="H860" s="1">
        <v>30</v>
      </c>
      <c r="I860" s="10">
        <f>detail_avancement!B860</f>
        <v>0</v>
      </c>
      <c r="J860" s="10">
        <f t="shared" si="0"/>
        <v>30</v>
      </c>
      <c r="K860" s="13">
        <f t="shared" si="1"/>
        <v>0</v>
      </c>
      <c r="L860" s="14">
        <f t="shared" si="2"/>
        <v>0</v>
      </c>
    </row>
    <row r="861" spans="1:12" ht="15.75" customHeight="1">
      <c r="A861" s="8">
        <v>860</v>
      </c>
      <c r="B861" s="8" t="s">
        <v>900</v>
      </c>
      <c r="C861" s="1" t="s">
        <v>901</v>
      </c>
      <c r="D861" s="1" t="s">
        <v>1018</v>
      </c>
      <c r="E861" s="1" t="s">
        <v>1020</v>
      </c>
      <c r="F861" s="1" t="s">
        <v>24</v>
      </c>
      <c r="G861" s="8" t="s">
        <v>0</v>
      </c>
      <c r="H861" s="1">
        <v>30</v>
      </c>
      <c r="I861" s="10">
        <f>detail_avancement!B861</f>
        <v>0</v>
      </c>
      <c r="J861" s="10">
        <f t="shared" si="0"/>
        <v>30</v>
      </c>
      <c r="K861" s="13">
        <f t="shared" si="1"/>
        <v>0</v>
      </c>
      <c r="L861" s="14">
        <f t="shared" si="2"/>
        <v>0</v>
      </c>
    </row>
    <row r="862" spans="1:12" ht="15.75" customHeight="1">
      <c r="A862" s="8">
        <v>861</v>
      </c>
      <c r="B862" s="8" t="s">
        <v>900</v>
      </c>
      <c r="C862" s="1" t="s">
        <v>901</v>
      </c>
      <c r="D862" s="1" t="s">
        <v>1018</v>
      </c>
      <c r="E862" s="1" t="s">
        <v>1021</v>
      </c>
      <c r="F862" s="1" t="s">
        <v>24</v>
      </c>
      <c r="G862" s="8" t="s">
        <v>0</v>
      </c>
      <c r="H862" s="1">
        <v>30</v>
      </c>
      <c r="I862" s="10">
        <f>detail_avancement!B862</f>
        <v>0</v>
      </c>
      <c r="J862" s="10">
        <f t="shared" si="0"/>
        <v>30</v>
      </c>
      <c r="K862" s="13">
        <f t="shared" si="1"/>
        <v>0</v>
      </c>
      <c r="L862" s="14">
        <f t="shared" si="2"/>
        <v>0</v>
      </c>
    </row>
    <row r="863" spans="1:12" ht="15.75" customHeight="1">
      <c r="A863" s="8">
        <v>862</v>
      </c>
      <c r="B863" s="8" t="s">
        <v>900</v>
      </c>
      <c r="C863" s="1" t="s">
        <v>901</v>
      </c>
      <c r="D863" s="1" t="s">
        <v>1022</v>
      </c>
      <c r="E863" s="1" t="s">
        <v>1023</v>
      </c>
      <c r="F863" s="1" t="s">
        <v>24</v>
      </c>
      <c r="G863" s="8" t="s">
        <v>0</v>
      </c>
      <c r="H863" s="1">
        <v>30</v>
      </c>
      <c r="I863" s="10">
        <f>detail_avancement!B863</f>
        <v>0</v>
      </c>
      <c r="J863" s="10">
        <f t="shared" si="0"/>
        <v>30</v>
      </c>
      <c r="K863" s="13">
        <f t="shared" si="1"/>
        <v>0</v>
      </c>
      <c r="L863" s="14">
        <f t="shared" si="2"/>
        <v>0</v>
      </c>
    </row>
    <row r="864" spans="1:12" ht="15.75" customHeight="1">
      <c r="A864" s="8">
        <v>863</v>
      </c>
      <c r="B864" s="8" t="s">
        <v>900</v>
      </c>
      <c r="C864" s="1" t="s">
        <v>901</v>
      </c>
      <c r="D864" s="1" t="s">
        <v>1022</v>
      </c>
      <c r="E864" s="1" t="s">
        <v>1024</v>
      </c>
      <c r="F864" s="1" t="s">
        <v>24</v>
      </c>
      <c r="G864" s="8" t="s">
        <v>0</v>
      </c>
      <c r="H864" s="1">
        <v>30</v>
      </c>
      <c r="I864" s="10">
        <f>detail_avancement!B864</f>
        <v>0</v>
      </c>
      <c r="J864" s="10">
        <f t="shared" si="0"/>
        <v>30</v>
      </c>
      <c r="K864" s="13">
        <f t="shared" si="1"/>
        <v>0</v>
      </c>
      <c r="L864" s="14">
        <f t="shared" si="2"/>
        <v>0</v>
      </c>
    </row>
    <row r="865" spans="1:12" ht="15.75" customHeight="1">
      <c r="A865" s="8">
        <v>864</v>
      </c>
      <c r="B865" s="8" t="s">
        <v>900</v>
      </c>
      <c r="C865" s="1" t="s">
        <v>901</v>
      </c>
      <c r="D865" s="1" t="s">
        <v>1025</v>
      </c>
      <c r="E865" s="1" t="s">
        <v>1026</v>
      </c>
      <c r="F865" s="1" t="s">
        <v>24</v>
      </c>
      <c r="G865" s="8" t="s">
        <v>0</v>
      </c>
      <c r="H865" s="1">
        <v>30</v>
      </c>
      <c r="I865" s="10">
        <f>detail_avancement!B865</f>
        <v>0</v>
      </c>
      <c r="J865" s="10">
        <f t="shared" si="0"/>
        <v>30</v>
      </c>
      <c r="K865" s="13">
        <f t="shared" si="1"/>
        <v>0</v>
      </c>
      <c r="L865" s="14">
        <f t="shared" si="2"/>
        <v>0</v>
      </c>
    </row>
    <row r="866" spans="1:12" ht="15.75" customHeight="1">
      <c r="A866" s="8">
        <v>865</v>
      </c>
      <c r="B866" s="8" t="s">
        <v>900</v>
      </c>
      <c r="C866" s="1" t="s">
        <v>901</v>
      </c>
      <c r="D866" s="1" t="s">
        <v>1025</v>
      </c>
      <c r="E866" s="1" t="s">
        <v>1027</v>
      </c>
      <c r="F866" s="1" t="s">
        <v>24</v>
      </c>
      <c r="G866" s="8" t="s">
        <v>0</v>
      </c>
      <c r="H866" s="1">
        <v>30</v>
      </c>
      <c r="I866" s="10">
        <f>detail_avancement!B866</f>
        <v>0</v>
      </c>
      <c r="J866" s="10">
        <f t="shared" si="0"/>
        <v>30</v>
      </c>
      <c r="K866" s="13">
        <f t="shared" si="1"/>
        <v>0</v>
      </c>
      <c r="L866" s="14">
        <f t="shared" si="2"/>
        <v>0</v>
      </c>
    </row>
    <row r="867" spans="1:12" ht="15.75" customHeight="1">
      <c r="A867" s="8">
        <v>866</v>
      </c>
      <c r="B867" s="8" t="s">
        <v>900</v>
      </c>
      <c r="C867" s="1" t="s">
        <v>901</v>
      </c>
      <c r="D867" s="1" t="s">
        <v>1025</v>
      </c>
      <c r="E867" s="1" t="s">
        <v>1028</v>
      </c>
      <c r="F867" s="1" t="s">
        <v>24</v>
      </c>
      <c r="G867" s="8" t="s">
        <v>0</v>
      </c>
      <c r="H867" s="1">
        <v>30</v>
      </c>
      <c r="I867" s="10">
        <f>detail_avancement!B867</f>
        <v>0</v>
      </c>
      <c r="J867" s="10">
        <f t="shared" si="0"/>
        <v>30</v>
      </c>
      <c r="K867" s="13">
        <f t="shared" si="1"/>
        <v>0</v>
      </c>
      <c r="L867" s="14">
        <f t="shared" si="2"/>
        <v>0</v>
      </c>
    </row>
    <row r="868" spans="1:12" ht="15.75" customHeight="1">
      <c r="A868" s="8">
        <v>867</v>
      </c>
      <c r="B868" s="8" t="s">
        <v>900</v>
      </c>
      <c r="C868" s="1" t="s">
        <v>901</v>
      </c>
      <c r="D868" s="1" t="s">
        <v>1029</v>
      </c>
      <c r="E868" s="1" t="s">
        <v>1030</v>
      </c>
      <c r="F868" s="1" t="s">
        <v>24</v>
      </c>
      <c r="G868" s="8" t="s">
        <v>0</v>
      </c>
      <c r="H868" s="1">
        <v>15</v>
      </c>
      <c r="I868" s="10">
        <f>detail_avancement!B868</f>
        <v>0</v>
      </c>
      <c r="J868" s="10">
        <f t="shared" si="0"/>
        <v>15</v>
      </c>
      <c r="K868" s="13">
        <f t="shared" si="1"/>
        <v>0</v>
      </c>
      <c r="L868" s="14">
        <f t="shared" si="2"/>
        <v>0</v>
      </c>
    </row>
    <row r="869" spans="1:12" ht="15.75" customHeight="1">
      <c r="A869" s="8">
        <v>868</v>
      </c>
      <c r="B869" s="8" t="s">
        <v>900</v>
      </c>
      <c r="C869" s="1" t="s">
        <v>901</v>
      </c>
      <c r="D869" s="1" t="s">
        <v>1029</v>
      </c>
      <c r="E869" s="1" t="s">
        <v>1031</v>
      </c>
      <c r="F869" s="1" t="s">
        <v>24</v>
      </c>
      <c r="G869" s="8" t="s">
        <v>0</v>
      </c>
      <c r="H869" s="1">
        <v>15</v>
      </c>
      <c r="I869" s="10">
        <f>detail_avancement!B869</f>
        <v>0</v>
      </c>
      <c r="J869" s="10">
        <f t="shared" si="0"/>
        <v>15</v>
      </c>
      <c r="K869" s="13">
        <f t="shared" si="1"/>
        <v>0</v>
      </c>
      <c r="L869" s="14">
        <f t="shared" si="2"/>
        <v>0</v>
      </c>
    </row>
    <row r="870" spans="1:12" ht="15.75" customHeight="1">
      <c r="A870" s="8">
        <v>869</v>
      </c>
      <c r="B870" s="8" t="s">
        <v>900</v>
      </c>
      <c r="C870" s="1" t="s">
        <v>901</v>
      </c>
      <c r="D870" s="1" t="s">
        <v>1032</v>
      </c>
      <c r="E870" s="1" t="s">
        <v>1033</v>
      </c>
      <c r="F870" s="1" t="s">
        <v>24</v>
      </c>
      <c r="G870" s="8" t="s">
        <v>0</v>
      </c>
      <c r="H870" s="1">
        <v>30</v>
      </c>
      <c r="I870" s="10">
        <f>detail_avancement!B870</f>
        <v>0</v>
      </c>
      <c r="J870" s="10">
        <f t="shared" si="0"/>
        <v>30</v>
      </c>
      <c r="K870" s="13">
        <f t="shared" si="1"/>
        <v>0</v>
      </c>
      <c r="L870" s="14">
        <f t="shared" si="2"/>
        <v>0</v>
      </c>
    </row>
    <row r="871" spans="1:12" ht="15.75" customHeight="1">
      <c r="A871" s="8">
        <v>870</v>
      </c>
      <c r="B871" s="8" t="s">
        <v>900</v>
      </c>
      <c r="C871" s="1" t="s">
        <v>901</v>
      </c>
      <c r="D871" s="1" t="s">
        <v>1032</v>
      </c>
      <c r="E871" s="1" t="s">
        <v>1034</v>
      </c>
      <c r="F871" s="1" t="s">
        <v>24</v>
      </c>
      <c r="G871" s="8" t="s">
        <v>0</v>
      </c>
      <c r="H871" s="1">
        <v>15</v>
      </c>
      <c r="I871" s="10">
        <f>detail_avancement!B871</f>
        <v>0</v>
      </c>
      <c r="J871" s="10">
        <f t="shared" si="0"/>
        <v>15</v>
      </c>
      <c r="K871" s="13">
        <f t="shared" si="1"/>
        <v>0</v>
      </c>
      <c r="L871" s="14">
        <f t="shared" si="2"/>
        <v>0</v>
      </c>
    </row>
    <row r="872" spans="1:12" ht="15.75" customHeight="1">
      <c r="A872" s="8">
        <v>871</v>
      </c>
      <c r="B872" s="8" t="s">
        <v>900</v>
      </c>
      <c r="C872" s="1" t="s">
        <v>901</v>
      </c>
      <c r="D872" s="1" t="s">
        <v>1032</v>
      </c>
      <c r="E872" s="1" t="s">
        <v>1035</v>
      </c>
      <c r="F872" s="1" t="s">
        <v>24</v>
      </c>
      <c r="G872" s="8" t="s">
        <v>0</v>
      </c>
      <c r="H872" s="1">
        <v>15</v>
      </c>
      <c r="I872" s="10">
        <f>detail_avancement!B872</f>
        <v>0</v>
      </c>
      <c r="J872" s="10">
        <f t="shared" si="0"/>
        <v>15</v>
      </c>
      <c r="K872" s="13">
        <f t="shared" si="1"/>
        <v>0</v>
      </c>
      <c r="L872" s="14">
        <f t="shared" si="2"/>
        <v>0</v>
      </c>
    </row>
    <row r="873" spans="1:12" ht="15.75" customHeight="1">
      <c r="A873" s="8">
        <v>872</v>
      </c>
      <c r="B873" s="8" t="s">
        <v>900</v>
      </c>
      <c r="C873" s="1" t="s">
        <v>901</v>
      </c>
      <c r="D873" s="1" t="s">
        <v>1032</v>
      </c>
      <c r="E873" s="1" t="s">
        <v>1036</v>
      </c>
      <c r="F873" s="1" t="s">
        <v>24</v>
      </c>
      <c r="G873" s="8" t="s">
        <v>0</v>
      </c>
      <c r="H873" s="1">
        <v>30</v>
      </c>
      <c r="I873" s="10">
        <f>detail_avancement!B873</f>
        <v>0</v>
      </c>
      <c r="J873" s="10">
        <f t="shared" si="0"/>
        <v>30</v>
      </c>
      <c r="K873" s="13">
        <f t="shared" si="1"/>
        <v>0</v>
      </c>
      <c r="L873" s="14">
        <f t="shared" si="2"/>
        <v>0</v>
      </c>
    </row>
    <row r="874" spans="1:12" ht="15.75" customHeight="1">
      <c r="A874" s="8">
        <v>873</v>
      </c>
      <c r="B874" s="8" t="s">
        <v>900</v>
      </c>
      <c r="C874" s="1" t="s">
        <v>901</v>
      </c>
      <c r="D874" s="1" t="s">
        <v>1037</v>
      </c>
      <c r="E874" s="1" t="s">
        <v>1038</v>
      </c>
      <c r="F874" s="1" t="s">
        <v>62</v>
      </c>
      <c r="G874" s="8" t="s">
        <v>0</v>
      </c>
      <c r="H874" s="1">
        <v>15</v>
      </c>
      <c r="I874" s="10">
        <f>detail_avancement!B874</f>
        <v>0</v>
      </c>
      <c r="J874" s="10">
        <f t="shared" si="0"/>
        <v>15</v>
      </c>
      <c r="K874" s="13">
        <f t="shared" si="1"/>
        <v>0</v>
      </c>
      <c r="L874" s="14">
        <f t="shared" si="2"/>
        <v>0</v>
      </c>
    </row>
    <row r="875" spans="1:12" ht="15.75" customHeight="1">
      <c r="A875" s="8">
        <v>874</v>
      </c>
      <c r="B875" s="8" t="s">
        <v>900</v>
      </c>
      <c r="C875" s="1" t="s">
        <v>901</v>
      </c>
      <c r="D875" s="1" t="s">
        <v>1037</v>
      </c>
      <c r="E875" s="1" t="s">
        <v>1039</v>
      </c>
      <c r="F875" s="1" t="s">
        <v>62</v>
      </c>
      <c r="G875" s="8" t="s">
        <v>0</v>
      </c>
      <c r="H875" s="1">
        <v>15</v>
      </c>
      <c r="I875" s="10">
        <f>detail_avancement!B875</f>
        <v>0</v>
      </c>
      <c r="J875" s="10">
        <f t="shared" si="0"/>
        <v>15</v>
      </c>
      <c r="K875" s="13">
        <f t="shared" si="1"/>
        <v>0</v>
      </c>
      <c r="L875" s="14">
        <f t="shared" si="2"/>
        <v>0</v>
      </c>
    </row>
    <row r="876" spans="1:12" ht="15.75" customHeight="1">
      <c r="A876" s="8">
        <v>875</v>
      </c>
      <c r="B876" s="8" t="s">
        <v>900</v>
      </c>
      <c r="C876" s="1" t="s">
        <v>901</v>
      </c>
      <c r="D876" s="1" t="s">
        <v>1037</v>
      </c>
      <c r="E876" s="1" t="s">
        <v>1040</v>
      </c>
      <c r="F876" s="1" t="s">
        <v>24</v>
      </c>
      <c r="G876" s="8" t="s">
        <v>0</v>
      </c>
      <c r="H876" s="1">
        <v>30</v>
      </c>
      <c r="I876" s="10">
        <f>detail_avancement!B876</f>
        <v>0</v>
      </c>
      <c r="J876" s="10">
        <f t="shared" si="0"/>
        <v>30</v>
      </c>
      <c r="K876" s="13">
        <f t="shared" si="1"/>
        <v>0</v>
      </c>
      <c r="L876" s="14">
        <f t="shared" si="2"/>
        <v>0</v>
      </c>
    </row>
    <row r="877" spans="1:12" ht="15.75" customHeight="1">
      <c r="A877" s="8">
        <v>876</v>
      </c>
      <c r="B877" s="8" t="s">
        <v>900</v>
      </c>
      <c r="C877" s="1" t="s">
        <v>901</v>
      </c>
      <c r="D877" s="1" t="s">
        <v>1037</v>
      </c>
      <c r="E877" s="1" t="s">
        <v>1041</v>
      </c>
      <c r="F877" s="1" t="s">
        <v>24</v>
      </c>
      <c r="G877" s="8" t="s">
        <v>0</v>
      </c>
      <c r="H877" s="1">
        <v>30</v>
      </c>
      <c r="I877" s="10">
        <f>detail_avancement!B877</f>
        <v>0</v>
      </c>
      <c r="J877" s="10">
        <f t="shared" si="0"/>
        <v>30</v>
      </c>
      <c r="K877" s="13">
        <f t="shared" si="1"/>
        <v>0</v>
      </c>
      <c r="L877" s="14">
        <f t="shared" si="2"/>
        <v>0</v>
      </c>
    </row>
    <row r="878" spans="1:12" ht="15.75" customHeight="1">
      <c r="A878" s="8">
        <v>877</v>
      </c>
      <c r="B878" s="8" t="s">
        <v>900</v>
      </c>
      <c r="C878" s="1" t="s">
        <v>901</v>
      </c>
      <c r="D878" s="1" t="s">
        <v>1037</v>
      </c>
      <c r="E878" s="1" t="s">
        <v>1042</v>
      </c>
      <c r="F878" s="1" t="s">
        <v>24</v>
      </c>
      <c r="G878" s="8" t="s">
        <v>0</v>
      </c>
      <c r="H878" s="1">
        <v>30</v>
      </c>
      <c r="I878" s="10">
        <f>detail_avancement!B878</f>
        <v>0</v>
      </c>
      <c r="J878" s="10">
        <f t="shared" si="0"/>
        <v>30</v>
      </c>
      <c r="K878" s="13">
        <f t="shared" si="1"/>
        <v>0</v>
      </c>
      <c r="L878" s="14">
        <f t="shared" si="2"/>
        <v>0</v>
      </c>
    </row>
    <row r="879" spans="1:12" ht="15.75" customHeight="1">
      <c r="A879" s="8">
        <v>878</v>
      </c>
      <c r="B879" s="8" t="s">
        <v>900</v>
      </c>
      <c r="C879" s="1" t="s">
        <v>901</v>
      </c>
      <c r="D879" s="1" t="s">
        <v>1037</v>
      </c>
      <c r="E879" s="1" t="s">
        <v>1043</v>
      </c>
      <c r="F879" s="1" t="s">
        <v>24</v>
      </c>
      <c r="G879" s="8" t="s">
        <v>0</v>
      </c>
      <c r="H879" s="1">
        <v>30</v>
      </c>
      <c r="I879" s="10">
        <f>detail_avancement!B879</f>
        <v>0</v>
      </c>
      <c r="J879" s="10">
        <f t="shared" si="0"/>
        <v>30</v>
      </c>
      <c r="K879" s="13">
        <f t="shared" si="1"/>
        <v>0</v>
      </c>
      <c r="L879" s="14">
        <f t="shared" si="2"/>
        <v>0</v>
      </c>
    </row>
    <row r="880" spans="1:12" ht="15.75" customHeight="1">
      <c r="A880" s="8">
        <v>879</v>
      </c>
      <c r="B880" s="8" t="s">
        <v>900</v>
      </c>
      <c r="C880" s="1" t="s">
        <v>901</v>
      </c>
      <c r="D880" s="1" t="s">
        <v>1037</v>
      </c>
      <c r="E880" s="1" t="s">
        <v>1044</v>
      </c>
      <c r="F880" s="1" t="s">
        <v>24</v>
      </c>
      <c r="G880" s="8" t="s">
        <v>0</v>
      </c>
      <c r="H880" s="1">
        <v>30</v>
      </c>
      <c r="I880" s="10">
        <f>detail_avancement!B880</f>
        <v>0</v>
      </c>
      <c r="J880" s="10">
        <f t="shared" si="0"/>
        <v>30</v>
      </c>
      <c r="K880" s="13">
        <f t="shared" si="1"/>
        <v>0</v>
      </c>
      <c r="L880" s="14">
        <f t="shared" si="2"/>
        <v>0</v>
      </c>
    </row>
    <row r="881" spans="1:12" ht="15.75" customHeight="1">
      <c r="A881" s="8">
        <v>880</v>
      </c>
      <c r="B881" s="8" t="s">
        <v>900</v>
      </c>
      <c r="C881" s="1" t="s">
        <v>901</v>
      </c>
      <c r="D881" s="1" t="s">
        <v>1037</v>
      </c>
      <c r="E881" s="1" t="s">
        <v>1045</v>
      </c>
      <c r="F881" s="1" t="s">
        <v>24</v>
      </c>
      <c r="G881" s="8" t="s">
        <v>0</v>
      </c>
      <c r="H881" s="1">
        <v>30</v>
      </c>
      <c r="I881" s="10">
        <f>detail_avancement!B881</f>
        <v>0</v>
      </c>
      <c r="J881" s="10">
        <f t="shared" si="0"/>
        <v>30</v>
      </c>
      <c r="K881" s="13">
        <f t="shared" si="1"/>
        <v>0</v>
      </c>
      <c r="L881" s="14">
        <f t="shared" si="2"/>
        <v>0</v>
      </c>
    </row>
    <row r="882" spans="1:12" ht="15.75" customHeight="1">
      <c r="A882" s="8">
        <v>881</v>
      </c>
      <c r="B882" s="8" t="s">
        <v>900</v>
      </c>
      <c r="C882" s="1" t="s">
        <v>901</v>
      </c>
      <c r="D882" s="1" t="s">
        <v>1037</v>
      </c>
      <c r="E882" s="1" t="s">
        <v>1046</v>
      </c>
      <c r="F882" s="1" t="s">
        <v>24</v>
      </c>
      <c r="G882" s="8" t="s">
        <v>0</v>
      </c>
      <c r="H882" s="1">
        <v>30</v>
      </c>
      <c r="I882" s="10">
        <f>detail_avancement!B882</f>
        <v>0</v>
      </c>
      <c r="J882" s="10">
        <f t="shared" si="0"/>
        <v>30</v>
      </c>
      <c r="K882" s="13">
        <f t="shared" si="1"/>
        <v>0</v>
      </c>
      <c r="L882" s="14">
        <f t="shared" si="2"/>
        <v>0</v>
      </c>
    </row>
    <row r="883" spans="1:12" ht="15.75" customHeight="1">
      <c r="A883" s="8">
        <v>882</v>
      </c>
      <c r="B883" s="8" t="s">
        <v>900</v>
      </c>
      <c r="C883" s="1" t="s">
        <v>901</v>
      </c>
      <c r="D883" s="1" t="s">
        <v>1037</v>
      </c>
      <c r="E883" s="1" t="s">
        <v>1047</v>
      </c>
      <c r="F883" s="1" t="s">
        <v>24</v>
      </c>
      <c r="G883" s="8" t="s">
        <v>0</v>
      </c>
      <c r="H883" s="1">
        <v>30</v>
      </c>
      <c r="I883" s="10">
        <f>detail_avancement!B883</f>
        <v>0</v>
      </c>
      <c r="J883" s="10">
        <f t="shared" si="0"/>
        <v>30</v>
      </c>
      <c r="K883" s="13">
        <f t="shared" si="1"/>
        <v>0</v>
      </c>
      <c r="L883" s="14">
        <f t="shared" si="2"/>
        <v>0</v>
      </c>
    </row>
    <row r="884" spans="1:12" ht="15.75" customHeight="1">
      <c r="A884" s="8">
        <v>883</v>
      </c>
      <c r="B884" s="8" t="s">
        <v>900</v>
      </c>
      <c r="C884" s="1" t="s">
        <v>901</v>
      </c>
      <c r="D884" s="1" t="s">
        <v>1037</v>
      </c>
      <c r="E884" s="1" t="s">
        <v>1048</v>
      </c>
      <c r="F884" s="1" t="s">
        <v>24</v>
      </c>
      <c r="G884" s="8" t="s">
        <v>0</v>
      </c>
      <c r="H884" s="1">
        <v>30</v>
      </c>
      <c r="I884" s="10">
        <f>detail_avancement!B884</f>
        <v>0</v>
      </c>
      <c r="J884" s="10">
        <f t="shared" si="0"/>
        <v>30</v>
      </c>
      <c r="K884" s="13">
        <f t="shared" si="1"/>
        <v>0</v>
      </c>
      <c r="L884" s="14">
        <f t="shared" si="2"/>
        <v>0</v>
      </c>
    </row>
    <row r="885" spans="1:12" ht="15.75" customHeight="1">
      <c r="A885" s="8">
        <v>884</v>
      </c>
      <c r="B885" s="8" t="s">
        <v>1049</v>
      </c>
      <c r="C885" s="1" t="s">
        <v>1050</v>
      </c>
      <c r="D885" s="1" t="s">
        <v>1051</v>
      </c>
      <c r="E885" s="1" t="s">
        <v>1052</v>
      </c>
      <c r="F885" s="1" t="s">
        <v>62</v>
      </c>
      <c r="G885" s="8" t="s">
        <v>0</v>
      </c>
      <c r="H885" s="1">
        <v>45</v>
      </c>
      <c r="I885" s="10">
        <f>detail_avancement!B885</f>
        <v>0</v>
      </c>
      <c r="J885" s="10">
        <f t="shared" si="0"/>
        <v>45</v>
      </c>
      <c r="K885" s="13">
        <f t="shared" si="1"/>
        <v>0</v>
      </c>
      <c r="L885" s="14">
        <f t="shared" si="2"/>
        <v>0</v>
      </c>
    </row>
    <row r="886" spans="1:12" ht="15.75" customHeight="1">
      <c r="A886" s="8">
        <v>885</v>
      </c>
      <c r="B886" s="8" t="s">
        <v>1049</v>
      </c>
      <c r="C886" s="1" t="s">
        <v>1050</v>
      </c>
      <c r="D886" s="1" t="s">
        <v>1053</v>
      </c>
      <c r="E886" s="1" t="s">
        <v>1054</v>
      </c>
      <c r="F886" s="1" t="s">
        <v>62</v>
      </c>
      <c r="G886" s="8" t="s">
        <v>0</v>
      </c>
      <c r="H886" s="1">
        <v>25</v>
      </c>
      <c r="I886" s="10">
        <f>detail_avancement!B886</f>
        <v>0</v>
      </c>
      <c r="J886" s="10">
        <f t="shared" si="0"/>
        <v>25</v>
      </c>
      <c r="K886" s="13">
        <f t="shared" si="1"/>
        <v>0</v>
      </c>
      <c r="L886" s="14">
        <f t="shared" si="2"/>
        <v>0</v>
      </c>
    </row>
    <row r="887" spans="1:12" ht="15.75" customHeight="1">
      <c r="A887" s="8">
        <v>886</v>
      </c>
      <c r="B887" s="8" t="s">
        <v>1049</v>
      </c>
      <c r="C887" s="1" t="s">
        <v>1050</v>
      </c>
      <c r="D887" s="1" t="s">
        <v>1055</v>
      </c>
      <c r="E887" s="1" t="s">
        <v>1056</v>
      </c>
      <c r="F887" s="1" t="s">
        <v>62</v>
      </c>
      <c r="G887" s="8" t="s">
        <v>0</v>
      </c>
      <c r="H887" s="1">
        <v>15</v>
      </c>
      <c r="I887" s="10">
        <f>detail_avancement!B887</f>
        <v>0</v>
      </c>
      <c r="J887" s="10">
        <f t="shared" si="0"/>
        <v>15</v>
      </c>
      <c r="K887" s="13">
        <f t="shared" si="1"/>
        <v>0</v>
      </c>
      <c r="L887" s="14">
        <f t="shared" si="2"/>
        <v>0</v>
      </c>
    </row>
    <row r="888" spans="1:12" ht="15.75" customHeight="1">
      <c r="A888" s="8">
        <v>887</v>
      </c>
      <c r="B888" s="8" t="s">
        <v>1049</v>
      </c>
      <c r="C888" s="1" t="s">
        <v>1050</v>
      </c>
      <c r="D888" s="1" t="s">
        <v>1051</v>
      </c>
      <c r="E888" s="1" t="s">
        <v>1057</v>
      </c>
      <c r="F888" s="1" t="s">
        <v>62</v>
      </c>
      <c r="G888" s="8" t="s">
        <v>0</v>
      </c>
      <c r="H888" s="1">
        <v>45</v>
      </c>
      <c r="I888" s="10">
        <f>detail_avancement!B888</f>
        <v>0</v>
      </c>
      <c r="J888" s="10">
        <f t="shared" si="0"/>
        <v>45</v>
      </c>
      <c r="K888" s="13">
        <f t="shared" si="1"/>
        <v>0</v>
      </c>
      <c r="L888" s="14">
        <f t="shared" si="2"/>
        <v>0</v>
      </c>
    </row>
    <row r="889" spans="1:12" ht="15.75" customHeight="1">
      <c r="A889" s="8">
        <v>888</v>
      </c>
      <c r="B889" s="8" t="s">
        <v>1049</v>
      </c>
      <c r="C889" s="1" t="s">
        <v>1050</v>
      </c>
      <c r="D889" s="1" t="s">
        <v>1053</v>
      </c>
      <c r="E889" s="1" t="s">
        <v>1058</v>
      </c>
      <c r="F889" s="1" t="s">
        <v>62</v>
      </c>
      <c r="G889" s="8" t="s">
        <v>0</v>
      </c>
      <c r="H889" s="1">
        <v>25</v>
      </c>
      <c r="I889" s="10">
        <f>detail_avancement!B889</f>
        <v>0</v>
      </c>
      <c r="J889" s="10">
        <f t="shared" si="0"/>
        <v>25</v>
      </c>
      <c r="K889" s="13">
        <f t="shared" si="1"/>
        <v>0</v>
      </c>
      <c r="L889" s="14">
        <f t="shared" si="2"/>
        <v>0</v>
      </c>
    </row>
    <row r="890" spans="1:12" ht="15.75" customHeight="1">
      <c r="A890" s="8">
        <v>889</v>
      </c>
      <c r="B890" s="8" t="s">
        <v>1049</v>
      </c>
      <c r="C890" s="1" t="s">
        <v>1050</v>
      </c>
      <c r="D890" s="1" t="s">
        <v>1055</v>
      </c>
      <c r="E890" s="1" t="s">
        <v>1059</v>
      </c>
      <c r="F890" s="1" t="s">
        <v>62</v>
      </c>
      <c r="G890" s="8" t="s">
        <v>0</v>
      </c>
      <c r="H890" s="1">
        <v>15</v>
      </c>
      <c r="I890" s="10">
        <f>detail_avancement!B890</f>
        <v>0</v>
      </c>
      <c r="J890" s="10">
        <f t="shared" si="0"/>
        <v>15</v>
      </c>
      <c r="K890" s="13">
        <f t="shared" si="1"/>
        <v>0</v>
      </c>
      <c r="L890" s="14">
        <f t="shared" si="2"/>
        <v>0</v>
      </c>
    </row>
    <row r="891" spans="1:12" ht="15.75" customHeight="1">
      <c r="A891" s="8">
        <v>890</v>
      </c>
      <c r="B891" s="8" t="s">
        <v>1049</v>
      </c>
      <c r="C891" s="1" t="s">
        <v>1050</v>
      </c>
      <c r="D891" s="1" t="s">
        <v>1051</v>
      </c>
      <c r="E891" s="1" t="s">
        <v>1060</v>
      </c>
      <c r="F891" s="1" t="s">
        <v>62</v>
      </c>
      <c r="G891" s="8" t="s">
        <v>0</v>
      </c>
      <c r="H891" s="1">
        <v>45</v>
      </c>
      <c r="I891" s="10">
        <f>detail_avancement!B891</f>
        <v>0</v>
      </c>
      <c r="J891" s="10">
        <f t="shared" si="0"/>
        <v>45</v>
      </c>
      <c r="K891" s="13">
        <f t="shared" si="1"/>
        <v>0</v>
      </c>
      <c r="L891" s="14">
        <f t="shared" si="2"/>
        <v>0</v>
      </c>
    </row>
    <row r="892" spans="1:12" ht="15.75" customHeight="1">
      <c r="A892" s="8">
        <v>891</v>
      </c>
      <c r="B892" s="8" t="s">
        <v>1049</v>
      </c>
      <c r="C892" s="1" t="s">
        <v>1050</v>
      </c>
      <c r="D892" s="1" t="s">
        <v>1053</v>
      </c>
      <c r="E892" s="1" t="s">
        <v>1061</v>
      </c>
      <c r="F892" s="1" t="s">
        <v>62</v>
      </c>
      <c r="G892" s="8" t="s">
        <v>0</v>
      </c>
      <c r="H892" s="1">
        <v>25</v>
      </c>
      <c r="I892" s="10">
        <f>detail_avancement!B892</f>
        <v>0</v>
      </c>
      <c r="J892" s="10">
        <f t="shared" si="0"/>
        <v>25</v>
      </c>
      <c r="K892" s="13">
        <f t="shared" si="1"/>
        <v>0</v>
      </c>
      <c r="L892" s="14">
        <f t="shared" si="2"/>
        <v>0</v>
      </c>
    </row>
    <row r="893" spans="1:12" ht="15.75" customHeight="1">
      <c r="A893" s="8">
        <v>892</v>
      </c>
      <c r="B893" s="8" t="s">
        <v>1049</v>
      </c>
      <c r="C893" s="1" t="s">
        <v>1050</v>
      </c>
      <c r="D893" s="1" t="s">
        <v>1055</v>
      </c>
      <c r="E893" s="1" t="s">
        <v>1062</v>
      </c>
      <c r="F893" s="1" t="s">
        <v>62</v>
      </c>
      <c r="G893" s="8" t="s">
        <v>0</v>
      </c>
      <c r="H893" s="1">
        <v>15</v>
      </c>
      <c r="I893" s="10">
        <f>detail_avancement!B893</f>
        <v>0</v>
      </c>
      <c r="J893" s="10">
        <f t="shared" si="0"/>
        <v>15</v>
      </c>
      <c r="K893" s="13">
        <f t="shared" si="1"/>
        <v>0</v>
      </c>
      <c r="L893" s="14">
        <f t="shared" si="2"/>
        <v>0</v>
      </c>
    </row>
    <row r="894" spans="1:12" ht="15.75" customHeight="1">
      <c r="A894" s="8">
        <v>893</v>
      </c>
      <c r="B894" s="8" t="s">
        <v>1049</v>
      </c>
      <c r="C894" s="1" t="s">
        <v>1050</v>
      </c>
      <c r="D894" s="1" t="s">
        <v>1051</v>
      </c>
      <c r="E894" s="1" t="s">
        <v>1063</v>
      </c>
      <c r="F894" s="1" t="s">
        <v>62</v>
      </c>
      <c r="G894" s="8" t="s">
        <v>0</v>
      </c>
      <c r="H894" s="1">
        <v>45</v>
      </c>
      <c r="I894" s="10">
        <f>detail_avancement!B894</f>
        <v>0</v>
      </c>
      <c r="J894" s="10">
        <f t="shared" si="0"/>
        <v>45</v>
      </c>
      <c r="K894" s="13">
        <f t="shared" si="1"/>
        <v>0</v>
      </c>
      <c r="L894" s="14">
        <f t="shared" si="2"/>
        <v>0</v>
      </c>
    </row>
    <row r="895" spans="1:12" ht="15.75" customHeight="1">
      <c r="A895" s="8">
        <v>894</v>
      </c>
      <c r="B895" s="8" t="s">
        <v>1049</v>
      </c>
      <c r="C895" s="1" t="s">
        <v>1050</v>
      </c>
      <c r="D895" s="1" t="s">
        <v>1053</v>
      </c>
      <c r="E895" s="1" t="s">
        <v>1064</v>
      </c>
      <c r="F895" s="1" t="s">
        <v>62</v>
      </c>
      <c r="G895" s="8" t="s">
        <v>0</v>
      </c>
      <c r="H895" s="1">
        <v>25</v>
      </c>
      <c r="I895" s="10">
        <f>detail_avancement!B895</f>
        <v>0</v>
      </c>
      <c r="J895" s="10">
        <f t="shared" si="0"/>
        <v>25</v>
      </c>
      <c r="K895" s="13">
        <f t="shared" si="1"/>
        <v>0</v>
      </c>
      <c r="L895" s="14">
        <f t="shared" si="2"/>
        <v>0</v>
      </c>
    </row>
    <row r="896" spans="1:12" ht="15.75" customHeight="1">
      <c r="A896" s="8">
        <v>895</v>
      </c>
      <c r="B896" s="8" t="s">
        <v>1049</v>
      </c>
      <c r="C896" s="1" t="s">
        <v>1050</v>
      </c>
      <c r="D896" s="1" t="s">
        <v>1055</v>
      </c>
      <c r="E896" s="1" t="s">
        <v>1065</v>
      </c>
      <c r="F896" s="1" t="s">
        <v>62</v>
      </c>
      <c r="G896" s="8" t="s">
        <v>0</v>
      </c>
      <c r="H896" s="1">
        <v>15</v>
      </c>
      <c r="I896" s="10">
        <f>detail_avancement!B896</f>
        <v>0</v>
      </c>
      <c r="J896" s="10">
        <f t="shared" si="0"/>
        <v>15</v>
      </c>
      <c r="K896" s="13">
        <f t="shared" si="1"/>
        <v>0</v>
      </c>
      <c r="L896" s="14">
        <f t="shared" si="2"/>
        <v>0</v>
      </c>
    </row>
    <row r="897" spans="1:12" ht="15.75" customHeight="1">
      <c r="A897" s="8">
        <v>896</v>
      </c>
      <c r="B897" s="8" t="s">
        <v>1049</v>
      </c>
      <c r="C897" s="1" t="s">
        <v>1050</v>
      </c>
      <c r="D897" s="1" t="s">
        <v>1051</v>
      </c>
      <c r="E897" s="1" t="s">
        <v>1066</v>
      </c>
      <c r="F897" s="1" t="s">
        <v>62</v>
      </c>
      <c r="G897" s="8" t="s">
        <v>0</v>
      </c>
      <c r="H897" s="1">
        <v>45</v>
      </c>
      <c r="I897" s="10">
        <f>detail_avancement!B897</f>
        <v>0</v>
      </c>
      <c r="J897" s="10">
        <f t="shared" si="0"/>
        <v>45</v>
      </c>
      <c r="K897" s="13">
        <f t="shared" si="1"/>
        <v>0</v>
      </c>
      <c r="L897" s="14">
        <f t="shared" si="2"/>
        <v>0</v>
      </c>
    </row>
    <row r="898" spans="1:12" ht="15.75" customHeight="1">
      <c r="A898" s="8">
        <v>897</v>
      </c>
      <c r="B898" s="8" t="s">
        <v>1049</v>
      </c>
      <c r="C898" s="1" t="s">
        <v>1050</v>
      </c>
      <c r="D898" s="1" t="s">
        <v>1053</v>
      </c>
      <c r="E898" s="1" t="s">
        <v>1067</v>
      </c>
      <c r="F898" s="1" t="s">
        <v>62</v>
      </c>
      <c r="G898" s="8" t="s">
        <v>0</v>
      </c>
      <c r="H898" s="1">
        <v>25</v>
      </c>
      <c r="I898" s="10">
        <f>detail_avancement!B898</f>
        <v>0</v>
      </c>
      <c r="J898" s="10">
        <f t="shared" si="0"/>
        <v>25</v>
      </c>
      <c r="K898" s="13">
        <f t="shared" si="1"/>
        <v>0</v>
      </c>
      <c r="L898" s="14">
        <f t="shared" si="2"/>
        <v>0</v>
      </c>
    </row>
    <row r="899" spans="1:12" ht="15.75" customHeight="1">
      <c r="A899" s="8">
        <v>898</v>
      </c>
      <c r="B899" s="8" t="s">
        <v>1049</v>
      </c>
      <c r="C899" s="1" t="s">
        <v>1050</v>
      </c>
      <c r="D899" s="1" t="s">
        <v>1055</v>
      </c>
      <c r="E899" s="1" t="s">
        <v>1068</v>
      </c>
      <c r="F899" s="1" t="s">
        <v>62</v>
      </c>
      <c r="G899" s="8" t="s">
        <v>0</v>
      </c>
      <c r="H899" s="1">
        <v>15</v>
      </c>
      <c r="I899" s="10">
        <f>detail_avancement!B899</f>
        <v>0</v>
      </c>
      <c r="J899" s="10">
        <f t="shared" si="0"/>
        <v>15</v>
      </c>
      <c r="K899" s="13">
        <f t="shared" si="1"/>
        <v>0</v>
      </c>
      <c r="L899" s="14">
        <f t="shared" si="2"/>
        <v>0</v>
      </c>
    </row>
    <row r="900" spans="1:12" ht="15.75" customHeight="1">
      <c r="A900" s="8">
        <v>899</v>
      </c>
      <c r="B900" s="8" t="s">
        <v>1049</v>
      </c>
      <c r="C900" s="1" t="s">
        <v>1050</v>
      </c>
      <c r="D900" s="1" t="s">
        <v>1051</v>
      </c>
      <c r="E900" s="1" t="s">
        <v>1069</v>
      </c>
      <c r="F900" s="1" t="s">
        <v>62</v>
      </c>
      <c r="G900" s="8" t="s">
        <v>0</v>
      </c>
      <c r="H900" s="1">
        <v>45</v>
      </c>
      <c r="I900" s="10">
        <f>detail_avancement!B900</f>
        <v>0</v>
      </c>
      <c r="J900" s="10">
        <f t="shared" si="0"/>
        <v>45</v>
      </c>
      <c r="K900" s="13">
        <f t="shared" si="1"/>
        <v>0</v>
      </c>
      <c r="L900" s="14">
        <f t="shared" si="2"/>
        <v>0</v>
      </c>
    </row>
    <row r="901" spans="1:12" ht="15.75" customHeight="1">
      <c r="A901" s="8">
        <v>900</v>
      </c>
      <c r="B901" s="8" t="s">
        <v>1049</v>
      </c>
      <c r="C901" s="1" t="s">
        <v>1050</v>
      </c>
      <c r="D901" s="1" t="s">
        <v>1053</v>
      </c>
      <c r="E901" s="1" t="s">
        <v>1070</v>
      </c>
      <c r="F901" s="1" t="s">
        <v>62</v>
      </c>
      <c r="G901" s="8" t="s">
        <v>0</v>
      </c>
      <c r="H901" s="1">
        <v>25</v>
      </c>
      <c r="I901" s="10">
        <f>detail_avancement!B901</f>
        <v>0</v>
      </c>
      <c r="J901" s="10">
        <f t="shared" si="0"/>
        <v>25</v>
      </c>
      <c r="K901" s="13">
        <f t="shared" si="1"/>
        <v>0</v>
      </c>
      <c r="L901" s="14">
        <f t="shared" si="2"/>
        <v>0</v>
      </c>
    </row>
    <row r="902" spans="1:12" ht="15.75" customHeight="1">
      <c r="A902" s="8">
        <v>901</v>
      </c>
      <c r="B902" s="8" t="s">
        <v>1049</v>
      </c>
      <c r="C902" s="1" t="s">
        <v>1050</v>
      </c>
      <c r="D902" s="1" t="s">
        <v>1055</v>
      </c>
      <c r="E902" s="1" t="s">
        <v>1071</v>
      </c>
      <c r="F902" s="1" t="s">
        <v>62</v>
      </c>
      <c r="G902" s="8" t="s">
        <v>0</v>
      </c>
      <c r="H902" s="1">
        <v>15</v>
      </c>
      <c r="I902" s="10">
        <f>detail_avancement!B902</f>
        <v>0</v>
      </c>
      <c r="J902" s="10">
        <f t="shared" si="0"/>
        <v>15</v>
      </c>
      <c r="K902" s="13">
        <f t="shared" si="1"/>
        <v>0</v>
      </c>
      <c r="L902" s="14">
        <f t="shared" si="2"/>
        <v>0</v>
      </c>
    </row>
    <row r="903" spans="1:12" ht="15.75" customHeight="1">
      <c r="A903" s="8">
        <v>902</v>
      </c>
      <c r="B903" s="8" t="s">
        <v>1049</v>
      </c>
      <c r="C903" s="1" t="s">
        <v>1050</v>
      </c>
      <c r="D903" s="1" t="s">
        <v>1051</v>
      </c>
      <c r="E903" s="1" t="s">
        <v>1072</v>
      </c>
      <c r="F903" s="1" t="s">
        <v>62</v>
      </c>
      <c r="G903" s="8" t="s">
        <v>0</v>
      </c>
      <c r="H903" s="1">
        <v>45</v>
      </c>
      <c r="I903" s="10">
        <f>detail_avancement!B903</f>
        <v>0</v>
      </c>
      <c r="J903" s="10">
        <f t="shared" si="0"/>
        <v>45</v>
      </c>
      <c r="K903" s="13">
        <f t="shared" si="1"/>
        <v>0</v>
      </c>
      <c r="L903" s="14">
        <f t="shared" si="2"/>
        <v>0</v>
      </c>
    </row>
    <row r="904" spans="1:12" ht="15.75" customHeight="1">
      <c r="A904" s="8">
        <v>903</v>
      </c>
      <c r="B904" s="8" t="s">
        <v>1049</v>
      </c>
      <c r="C904" s="1" t="s">
        <v>1050</v>
      </c>
      <c r="D904" s="1" t="s">
        <v>1053</v>
      </c>
      <c r="E904" s="1" t="s">
        <v>1073</v>
      </c>
      <c r="F904" s="1" t="s">
        <v>62</v>
      </c>
      <c r="G904" s="8" t="s">
        <v>0</v>
      </c>
      <c r="H904" s="1">
        <v>25</v>
      </c>
      <c r="I904" s="10">
        <f>detail_avancement!B904</f>
        <v>0</v>
      </c>
      <c r="J904" s="10">
        <f t="shared" si="0"/>
        <v>25</v>
      </c>
      <c r="K904" s="13">
        <f t="shared" si="1"/>
        <v>0</v>
      </c>
      <c r="L904" s="14">
        <f t="shared" si="2"/>
        <v>0</v>
      </c>
    </row>
    <row r="905" spans="1:12" ht="15.75" customHeight="1">
      <c r="A905" s="8">
        <v>904</v>
      </c>
      <c r="B905" s="8" t="s">
        <v>1049</v>
      </c>
      <c r="C905" s="1" t="s">
        <v>1050</v>
      </c>
      <c r="D905" s="1" t="s">
        <v>1055</v>
      </c>
      <c r="E905" s="1" t="s">
        <v>1074</v>
      </c>
      <c r="F905" s="1" t="s">
        <v>62</v>
      </c>
      <c r="G905" s="8" t="s">
        <v>0</v>
      </c>
      <c r="H905" s="1">
        <v>15</v>
      </c>
      <c r="I905" s="10">
        <f>detail_avancement!B905</f>
        <v>0</v>
      </c>
      <c r="J905" s="10">
        <f t="shared" si="0"/>
        <v>15</v>
      </c>
      <c r="K905" s="13">
        <f t="shared" si="1"/>
        <v>0</v>
      </c>
      <c r="L905" s="14">
        <f t="shared" si="2"/>
        <v>0</v>
      </c>
    </row>
    <row r="906" spans="1:12" ht="15.75" customHeight="1">
      <c r="A906" s="8">
        <v>905</v>
      </c>
      <c r="B906" s="8" t="s">
        <v>1049</v>
      </c>
      <c r="C906" s="1" t="s">
        <v>1050</v>
      </c>
      <c r="D906" s="1" t="s">
        <v>1051</v>
      </c>
      <c r="E906" s="1" t="s">
        <v>1075</v>
      </c>
      <c r="F906" s="1" t="s">
        <v>62</v>
      </c>
      <c r="G906" s="8" t="s">
        <v>0</v>
      </c>
      <c r="H906" s="1">
        <v>45</v>
      </c>
      <c r="I906" s="10">
        <f>detail_avancement!B906</f>
        <v>0</v>
      </c>
      <c r="J906" s="10">
        <f t="shared" si="0"/>
        <v>45</v>
      </c>
      <c r="K906" s="13">
        <f t="shared" si="1"/>
        <v>0</v>
      </c>
      <c r="L906" s="14">
        <f t="shared" si="2"/>
        <v>0</v>
      </c>
    </row>
    <row r="907" spans="1:12" ht="15.75" customHeight="1">
      <c r="A907" s="8">
        <v>906</v>
      </c>
      <c r="B907" s="8" t="s">
        <v>1049</v>
      </c>
      <c r="C907" s="1" t="s">
        <v>1050</v>
      </c>
      <c r="D907" s="1" t="s">
        <v>1053</v>
      </c>
      <c r="E907" s="1" t="s">
        <v>1076</v>
      </c>
      <c r="F907" s="1" t="s">
        <v>62</v>
      </c>
      <c r="G907" s="8" t="s">
        <v>0</v>
      </c>
      <c r="H907" s="1">
        <v>25</v>
      </c>
      <c r="I907" s="10">
        <f>detail_avancement!B907</f>
        <v>0</v>
      </c>
      <c r="J907" s="10">
        <f t="shared" si="0"/>
        <v>25</v>
      </c>
      <c r="K907" s="13">
        <f t="shared" si="1"/>
        <v>0</v>
      </c>
      <c r="L907" s="14">
        <f t="shared" si="2"/>
        <v>0</v>
      </c>
    </row>
    <row r="908" spans="1:12" ht="15.75" customHeight="1">
      <c r="A908" s="8">
        <v>907</v>
      </c>
      <c r="B908" s="8" t="s">
        <v>1049</v>
      </c>
      <c r="C908" s="1" t="s">
        <v>1050</v>
      </c>
      <c r="D908" s="1" t="s">
        <v>1055</v>
      </c>
      <c r="E908" s="1" t="s">
        <v>1077</v>
      </c>
      <c r="F908" s="1" t="s">
        <v>62</v>
      </c>
      <c r="G908" s="8" t="s">
        <v>0</v>
      </c>
      <c r="H908" s="1">
        <v>15</v>
      </c>
      <c r="I908" s="10">
        <f>detail_avancement!B908</f>
        <v>0</v>
      </c>
      <c r="J908" s="10">
        <f t="shared" si="0"/>
        <v>15</v>
      </c>
      <c r="K908" s="13">
        <f t="shared" si="1"/>
        <v>0</v>
      </c>
      <c r="L908" s="14">
        <f t="shared" si="2"/>
        <v>0</v>
      </c>
    </row>
    <row r="909" spans="1:12" ht="15.75" customHeight="1">
      <c r="A909" s="8">
        <v>908</v>
      </c>
      <c r="B909" s="8" t="s">
        <v>1049</v>
      </c>
      <c r="C909" s="1" t="s">
        <v>1050</v>
      </c>
      <c r="D909" s="1" t="s">
        <v>1051</v>
      </c>
      <c r="E909" s="1" t="s">
        <v>1078</v>
      </c>
      <c r="F909" s="1" t="s">
        <v>62</v>
      </c>
      <c r="G909" s="8" t="s">
        <v>0</v>
      </c>
      <c r="H909" s="1">
        <v>45</v>
      </c>
      <c r="I909" s="10">
        <f>detail_avancement!B909</f>
        <v>0</v>
      </c>
      <c r="J909" s="10">
        <f t="shared" si="0"/>
        <v>45</v>
      </c>
      <c r="K909" s="13">
        <f t="shared" si="1"/>
        <v>0</v>
      </c>
      <c r="L909" s="14">
        <f t="shared" si="2"/>
        <v>0</v>
      </c>
    </row>
    <row r="910" spans="1:12" ht="15.75" customHeight="1">
      <c r="A910" s="8">
        <v>909</v>
      </c>
      <c r="B910" s="8" t="s">
        <v>1049</v>
      </c>
      <c r="C910" s="1" t="s">
        <v>1050</v>
      </c>
      <c r="D910" s="1" t="s">
        <v>1053</v>
      </c>
      <c r="E910" s="1" t="s">
        <v>1079</v>
      </c>
      <c r="F910" s="1" t="s">
        <v>62</v>
      </c>
      <c r="G910" s="8" t="s">
        <v>0</v>
      </c>
      <c r="H910" s="1">
        <v>25</v>
      </c>
      <c r="I910" s="10">
        <f>detail_avancement!B910</f>
        <v>0</v>
      </c>
      <c r="J910" s="10">
        <f t="shared" si="0"/>
        <v>25</v>
      </c>
      <c r="K910" s="13">
        <f t="shared" si="1"/>
        <v>0</v>
      </c>
      <c r="L910" s="14">
        <f t="shared" si="2"/>
        <v>0</v>
      </c>
    </row>
    <row r="911" spans="1:12" ht="15.75" customHeight="1">
      <c r="A911" s="8">
        <v>910</v>
      </c>
      <c r="B911" s="8" t="s">
        <v>1049</v>
      </c>
      <c r="C911" s="1" t="s">
        <v>1050</v>
      </c>
      <c r="D911" s="1" t="s">
        <v>1055</v>
      </c>
      <c r="E911" s="1" t="s">
        <v>1080</v>
      </c>
      <c r="F911" s="1" t="s">
        <v>62</v>
      </c>
      <c r="G911" s="8" t="s">
        <v>0</v>
      </c>
      <c r="H911" s="1">
        <v>15</v>
      </c>
      <c r="I911" s="10">
        <f>detail_avancement!B911</f>
        <v>0</v>
      </c>
      <c r="J911" s="10">
        <f t="shared" si="0"/>
        <v>15</v>
      </c>
      <c r="K911" s="13">
        <f t="shared" si="1"/>
        <v>0</v>
      </c>
      <c r="L911" s="14">
        <f t="shared" si="2"/>
        <v>0</v>
      </c>
    </row>
    <row r="912" spans="1:12" ht="15.75" customHeight="1">
      <c r="A912" s="8">
        <v>911</v>
      </c>
      <c r="B912" s="8" t="s">
        <v>1049</v>
      </c>
      <c r="C912" s="1" t="s">
        <v>1050</v>
      </c>
      <c r="D912" s="1" t="s">
        <v>1051</v>
      </c>
      <c r="E912" s="1" t="s">
        <v>1081</v>
      </c>
      <c r="F912" s="1" t="s">
        <v>62</v>
      </c>
      <c r="G912" s="8" t="s">
        <v>0</v>
      </c>
      <c r="H912" s="1">
        <v>45</v>
      </c>
      <c r="I912" s="10">
        <f>detail_avancement!B912</f>
        <v>0</v>
      </c>
      <c r="J912" s="10">
        <f t="shared" si="0"/>
        <v>45</v>
      </c>
      <c r="K912" s="13">
        <f t="shared" si="1"/>
        <v>0</v>
      </c>
      <c r="L912" s="14">
        <f t="shared" si="2"/>
        <v>0</v>
      </c>
    </row>
    <row r="913" spans="1:12" ht="15.75" customHeight="1">
      <c r="A913" s="8">
        <v>912</v>
      </c>
      <c r="B913" s="8" t="s">
        <v>1049</v>
      </c>
      <c r="C913" s="1" t="s">
        <v>1050</v>
      </c>
      <c r="D913" s="1" t="s">
        <v>1053</v>
      </c>
      <c r="E913" s="1" t="s">
        <v>1082</v>
      </c>
      <c r="F913" s="1" t="s">
        <v>62</v>
      </c>
      <c r="G913" s="8" t="s">
        <v>0</v>
      </c>
      <c r="H913" s="1">
        <v>25</v>
      </c>
      <c r="I913" s="10">
        <f>detail_avancement!B913</f>
        <v>0</v>
      </c>
      <c r="J913" s="10">
        <f t="shared" si="0"/>
        <v>25</v>
      </c>
      <c r="K913" s="13">
        <f t="shared" si="1"/>
        <v>0</v>
      </c>
      <c r="L913" s="14">
        <f t="shared" si="2"/>
        <v>0</v>
      </c>
    </row>
    <row r="914" spans="1:12" ht="15.75" customHeight="1">
      <c r="A914" s="8">
        <v>913</v>
      </c>
      <c r="B914" s="8" t="s">
        <v>1049</v>
      </c>
      <c r="C914" s="1" t="s">
        <v>1050</v>
      </c>
      <c r="D914" s="1" t="s">
        <v>1055</v>
      </c>
      <c r="E914" s="1" t="s">
        <v>1083</v>
      </c>
      <c r="F914" s="1" t="s">
        <v>62</v>
      </c>
      <c r="G914" s="8" t="s">
        <v>0</v>
      </c>
      <c r="H914" s="1">
        <v>15</v>
      </c>
      <c r="I914" s="10">
        <f>detail_avancement!B914</f>
        <v>0</v>
      </c>
      <c r="J914" s="10">
        <f t="shared" si="0"/>
        <v>15</v>
      </c>
      <c r="K914" s="13">
        <f t="shared" si="1"/>
        <v>0</v>
      </c>
      <c r="L914" s="14">
        <f t="shared" si="2"/>
        <v>0</v>
      </c>
    </row>
    <row r="915" spans="1:12" ht="15.75" customHeight="1">
      <c r="A915" s="8">
        <v>914</v>
      </c>
      <c r="B915" s="8" t="s">
        <v>1049</v>
      </c>
      <c r="C915" s="1" t="s">
        <v>1050</v>
      </c>
      <c r="D915" s="1" t="s">
        <v>1051</v>
      </c>
      <c r="E915" s="1" t="s">
        <v>1084</v>
      </c>
      <c r="F915" s="1" t="s">
        <v>62</v>
      </c>
      <c r="G915" s="8" t="s">
        <v>0</v>
      </c>
      <c r="H915" s="1">
        <v>45</v>
      </c>
      <c r="I915" s="10">
        <f>detail_avancement!B915</f>
        <v>0</v>
      </c>
      <c r="J915" s="10">
        <f t="shared" si="0"/>
        <v>45</v>
      </c>
      <c r="K915" s="13">
        <f t="shared" si="1"/>
        <v>0</v>
      </c>
      <c r="L915" s="14">
        <f t="shared" si="2"/>
        <v>0</v>
      </c>
    </row>
    <row r="916" spans="1:12" ht="15.75" customHeight="1">
      <c r="A916" s="8">
        <v>915</v>
      </c>
      <c r="B916" s="8" t="s">
        <v>1049</v>
      </c>
      <c r="C916" s="1" t="s">
        <v>1050</v>
      </c>
      <c r="D916" s="1" t="s">
        <v>1053</v>
      </c>
      <c r="E916" s="1" t="s">
        <v>1085</v>
      </c>
      <c r="F916" s="1" t="s">
        <v>62</v>
      </c>
      <c r="G916" s="8" t="s">
        <v>0</v>
      </c>
      <c r="H916" s="1">
        <v>25</v>
      </c>
      <c r="I916" s="10">
        <f>detail_avancement!B916</f>
        <v>0</v>
      </c>
      <c r="J916" s="10">
        <f t="shared" si="0"/>
        <v>25</v>
      </c>
      <c r="K916" s="13">
        <f t="shared" si="1"/>
        <v>0</v>
      </c>
      <c r="L916" s="14">
        <f t="shared" si="2"/>
        <v>0</v>
      </c>
    </row>
    <row r="917" spans="1:12" ht="15.75" customHeight="1">
      <c r="A917" s="8">
        <v>916</v>
      </c>
      <c r="B917" s="8" t="s">
        <v>1049</v>
      </c>
      <c r="C917" s="1" t="s">
        <v>1050</v>
      </c>
      <c r="D917" s="1" t="s">
        <v>1055</v>
      </c>
      <c r="E917" s="1" t="s">
        <v>1086</v>
      </c>
      <c r="F917" s="1" t="s">
        <v>62</v>
      </c>
      <c r="G917" s="8" t="s">
        <v>0</v>
      </c>
      <c r="H917" s="1">
        <v>15</v>
      </c>
      <c r="I917" s="10">
        <f>detail_avancement!B917</f>
        <v>0</v>
      </c>
      <c r="J917" s="10">
        <f t="shared" si="0"/>
        <v>15</v>
      </c>
      <c r="K917" s="13">
        <f t="shared" si="1"/>
        <v>0</v>
      </c>
      <c r="L917" s="14">
        <f t="shared" si="2"/>
        <v>0</v>
      </c>
    </row>
    <row r="918" spans="1:12" ht="15.75" customHeight="1">
      <c r="A918" s="8">
        <v>917</v>
      </c>
      <c r="B918" s="8" t="s">
        <v>1049</v>
      </c>
      <c r="C918" s="1" t="s">
        <v>1050</v>
      </c>
      <c r="D918" s="1" t="s">
        <v>1051</v>
      </c>
      <c r="E918" s="1" t="s">
        <v>1087</v>
      </c>
      <c r="F918" s="1" t="s">
        <v>62</v>
      </c>
      <c r="G918" s="8" t="s">
        <v>0</v>
      </c>
      <c r="H918" s="1">
        <v>45</v>
      </c>
      <c r="I918" s="10">
        <f>detail_avancement!B918</f>
        <v>0</v>
      </c>
      <c r="J918" s="10">
        <f t="shared" si="0"/>
        <v>45</v>
      </c>
      <c r="K918" s="13">
        <f t="shared" si="1"/>
        <v>0</v>
      </c>
      <c r="L918" s="14">
        <f t="shared" si="2"/>
        <v>0</v>
      </c>
    </row>
    <row r="919" spans="1:12" ht="15.75" customHeight="1">
      <c r="A919" s="8">
        <v>918</v>
      </c>
      <c r="B919" s="8" t="s">
        <v>1049</v>
      </c>
      <c r="C919" s="1" t="s">
        <v>1050</v>
      </c>
      <c r="D919" s="1" t="s">
        <v>1053</v>
      </c>
      <c r="E919" s="1" t="s">
        <v>1088</v>
      </c>
      <c r="F919" s="1" t="s">
        <v>62</v>
      </c>
      <c r="G919" s="8" t="s">
        <v>0</v>
      </c>
      <c r="H919" s="1">
        <v>25</v>
      </c>
      <c r="I919" s="10">
        <f>detail_avancement!B919</f>
        <v>0</v>
      </c>
      <c r="J919" s="10">
        <f t="shared" si="0"/>
        <v>25</v>
      </c>
      <c r="K919" s="13">
        <f t="shared" si="1"/>
        <v>0</v>
      </c>
      <c r="L919" s="14">
        <f t="shared" si="2"/>
        <v>0</v>
      </c>
    </row>
    <row r="920" spans="1:12" ht="15.75" customHeight="1">
      <c r="A920" s="8">
        <v>919</v>
      </c>
      <c r="B920" s="8" t="s">
        <v>1049</v>
      </c>
      <c r="C920" s="1" t="s">
        <v>1050</v>
      </c>
      <c r="D920" s="1" t="s">
        <v>1055</v>
      </c>
      <c r="E920" s="1" t="s">
        <v>1089</v>
      </c>
      <c r="F920" s="1" t="s">
        <v>62</v>
      </c>
      <c r="G920" s="8" t="s">
        <v>0</v>
      </c>
      <c r="H920" s="1">
        <v>15</v>
      </c>
      <c r="I920" s="10">
        <f>detail_avancement!B920</f>
        <v>0</v>
      </c>
      <c r="J920" s="10">
        <f t="shared" si="0"/>
        <v>15</v>
      </c>
      <c r="K920" s="13">
        <f t="shared" si="1"/>
        <v>0</v>
      </c>
      <c r="L920" s="14">
        <f t="shared" si="2"/>
        <v>0</v>
      </c>
    </row>
    <row r="921" spans="1:12" ht="15.75" customHeight="1">
      <c r="A921" s="8">
        <v>920</v>
      </c>
      <c r="B921" s="8" t="s">
        <v>1049</v>
      </c>
      <c r="C921" s="1" t="s">
        <v>1050</v>
      </c>
      <c r="D921" s="1" t="s">
        <v>1051</v>
      </c>
      <c r="E921" s="1" t="s">
        <v>1090</v>
      </c>
      <c r="F921" s="1" t="s">
        <v>62</v>
      </c>
      <c r="G921" s="8" t="s">
        <v>0</v>
      </c>
      <c r="H921" s="1">
        <v>45</v>
      </c>
      <c r="I921" s="10">
        <f>detail_avancement!B921</f>
        <v>0</v>
      </c>
      <c r="J921" s="10">
        <f t="shared" si="0"/>
        <v>45</v>
      </c>
      <c r="K921" s="13">
        <f t="shared" si="1"/>
        <v>0</v>
      </c>
      <c r="L921" s="14">
        <f t="shared" si="2"/>
        <v>0</v>
      </c>
    </row>
    <row r="922" spans="1:12" ht="15.75" customHeight="1">
      <c r="A922" s="8">
        <v>921</v>
      </c>
      <c r="B922" s="8" t="s">
        <v>1049</v>
      </c>
      <c r="C922" s="1" t="s">
        <v>1050</v>
      </c>
      <c r="D922" s="1" t="s">
        <v>1053</v>
      </c>
      <c r="E922" s="1" t="s">
        <v>1091</v>
      </c>
      <c r="F922" s="1" t="s">
        <v>62</v>
      </c>
      <c r="G922" s="8" t="s">
        <v>0</v>
      </c>
      <c r="H922" s="1">
        <v>30</v>
      </c>
      <c r="I922" s="10">
        <f>detail_avancement!B922</f>
        <v>0</v>
      </c>
      <c r="J922" s="10">
        <f t="shared" si="0"/>
        <v>30</v>
      </c>
      <c r="K922" s="13">
        <f t="shared" si="1"/>
        <v>0</v>
      </c>
      <c r="L922" s="14">
        <f t="shared" si="2"/>
        <v>0</v>
      </c>
    </row>
    <row r="923" spans="1:12" ht="15.75" customHeight="1">
      <c r="A923" s="8">
        <v>922</v>
      </c>
      <c r="B923" s="8" t="s">
        <v>1049</v>
      </c>
      <c r="C923" s="1" t="s">
        <v>1050</v>
      </c>
      <c r="D923" s="1" t="s">
        <v>1055</v>
      </c>
      <c r="E923" s="1" t="s">
        <v>1092</v>
      </c>
      <c r="F923" s="1" t="s">
        <v>62</v>
      </c>
      <c r="G923" s="8" t="s">
        <v>0</v>
      </c>
      <c r="H923" s="1">
        <v>15</v>
      </c>
      <c r="I923" s="10">
        <f>detail_avancement!B923</f>
        <v>0</v>
      </c>
      <c r="J923" s="10">
        <f t="shared" si="0"/>
        <v>15</v>
      </c>
      <c r="K923" s="13">
        <f t="shared" si="1"/>
        <v>0</v>
      </c>
      <c r="L923" s="14">
        <f t="shared" si="2"/>
        <v>0</v>
      </c>
    </row>
    <row r="924" spans="1:12" ht="15.75" customHeight="1">
      <c r="A924" s="5"/>
      <c r="B924" s="5"/>
      <c r="C924" s="5"/>
      <c r="E924" s="5"/>
      <c r="L924" s="5"/>
    </row>
    <row r="925" spans="1:12" ht="15.75" customHeight="1">
      <c r="A925" s="5"/>
      <c r="B925" s="5"/>
      <c r="C925" s="5"/>
      <c r="E925" s="5"/>
      <c r="L925" s="5"/>
    </row>
    <row r="926" spans="1:12" ht="15.75" customHeight="1">
      <c r="A926" s="5"/>
      <c r="B926" s="5"/>
      <c r="C926" s="5"/>
      <c r="E926" s="5"/>
      <c r="L926" s="5"/>
    </row>
    <row r="927" spans="1:12" ht="15.75" customHeight="1">
      <c r="A927" s="5"/>
      <c r="B927" s="5"/>
      <c r="C927" s="5"/>
      <c r="E927" s="5"/>
      <c r="L927" s="5"/>
    </row>
    <row r="928" spans="1:12" ht="15.75" customHeight="1">
      <c r="A928" s="5"/>
      <c r="B928" s="5"/>
      <c r="C928" s="5"/>
      <c r="E928" s="5"/>
      <c r="L928" s="5"/>
    </row>
    <row r="929" spans="1:12" ht="15.75" customHeight="1">
      <c r="A929" s="5"/>
      <c r="B929" s="5"/>
      <c r="C929" s="5"/>
      <c r="E929" s="5"/>
      <c r="L929" s="5"/>
    </row>
    <row r="930" spans="1:12" ht="15.75" customHeight="1">
      <c r="A930" s="5"/>
      <c r="B930" s="5"/>
      <c r="C930" s="5"/>
      <c r="E930" s="5"/>
      <c r="L930" s="5"/>
    </row>
    <row r="931" spans="1:12" ht="15.75" customHeight="1">
      <c r="A931" s="5"/>
      <c r="B931" s="5"/>
      <c r="C931" s="5"/>
      <c r="E931" s="5"/>
      <c r="L931" s="5"/>
    </row>
    <row r="932" spans="1:12" ht="15.75" customHeight="1">
      <c r="A932" s="5"/>
      <c r="B932" s="5"/>
      <c r="C932" s="5"/>
      <c r="E932" s="5"/>
      <c r="L932" s="5"/>
    </row>
    <row r="933" spans="1:12" ht="15.75" customHeight="1">
      <c r="A933" s="5"/>
      <c r="B933" s="5"/>
      <c r="C933" s="5"/>
      <c r="E933" s="5"/>
      <c r="L933" s="5"/>
    </row>
    <row r="934" spans="1:12" ht="15.75" customHeight="1">
      <c r="A934" s="5"/>
      <c r="B934" s="5"/>
      <c r="C934" s="5"/>
      <c r="E934" s="5"/>
      <c r="L934" s="5"/>
    </row>
    <row r="935" spans="1:12" ht="15.75" customHeight="1">
      <c r="A935" s="5"/>
      <c r="B935" s="5"/>
      <c r="C935" s="5"/>
      <c r="E935" s="5"/>
      <c r="L935" s="5"/>
    </row>
    <row r="936" spans="1:12" ht="15.75" customHeight="1">
      <c r="A936" s="5"/>
      <c r="B936" s="5"/>
      <c r="C936" s="5"/>
      <c r="E936" s="5"/>
      <c r="L936" s="5"/>
    </row>
    <row r="937" spans="1:12" ht="15.75" customHeight="1">
      <c r="A937" s="5"/>
      <c r="B937" s="5"/>
      <c r="C937" s="5"/>
      <c r="E937" s="5"/>
      <c r="L937" s="5"/>
    </row>
    <row r="938" spans="1:12" ht="15.75" customHeight="1">
      <c r="A938" s="5"/>
      <c r="B938" s="5"/>
      <c r="C938" s="5"/>
      <c r="E938" s="5"/>
      <c r="L938" s="5"/>
    </row>
    <row r="939" spans="1:12" ht="15.75" customHeight="1">
      <c r="A939" s="5"/>
      <c r="B939" s="5"/>
      <c r="C939" s="5"/>
      <c r="E939" s="5"/>
      <c r="L939" s="5"/>
    </row>
    <row r="940" spans="1:12" ht="15.75" customHeight="1">
      <c r="A940" s="5"/>
      <c r="B940" s="5"/>
      <c r="C940" s="5"/>
      <c r="E940" s="5"/>
      <c r="L940" s="5"/>
    </row>
    <row r="941" spans="1:12" ht="15.75" customHeight="1">
      <c r="A941" s="5"/>
      <c r="B941" s="5"/>
      <c r="C941" s="5"/>
      <c r="E941" s="5"/>
      <c r="L941" s="5"/>
    </row>
    <row r="942" spans="1:12" ht="15.75" customHeight="1">
      <c r="A942" s="5"/>
      <c r="B942" s="5"/>
      <c r="C942" s="5"/>
      <c r="E942" s="5"/>
      <c r="L942" s="5"/>
    </row>
    <row r="943" spans="1:12" ht="15.75" customHeight="1">
      <c r="A943" s="5"/>
      <c r="B943" s="5"/>
      <c r="C943" s="5"/>
      <c r="E943" s="5"/>
      <c r="L943" s="5"/>
    </row>
    <row r="944" spans="1:12" ht="15.75" customHeight="1">
      <c r="A944" s="5"/>
      <c r="B944" s="5"/>
      <c r="C944" s="5"/>
      <c r="E944" s="5"/>
      <c r="L944" s="5"/>
    </row>
    <row r="945" spans="1:12" ht="15.75" customHeight="1">
      <c r="A945" s="5"/>
      <c r="B945" s="5"/>
      <c r="C945" s="5"/>
      <c r="E945" s="5"/>
      <c r="L945" s="5"/>
    </row>
    <row r="946" spans="1:12" ht="15.75" customHeight="1">
      <c r="A946" s="5"/>
      <c r="B946" s="5"/>
      <c r="C946" s="5"/>
      <c r="E946" s="5"/>
      <c r="L946" s="5"/>
    </row>
    <row r="947" spans="1:12" ht="15.75" customHeight="1">
      <c r="A947" s="5"/>
      <c r="B947" s="5"/>
      <c r="C947" s="5"/>
      <c r="E947" s="5"/>
      <c r="L947" s="5"/>
    </row>
    <row r="948" spans="1:12" ht="15.75" customHeight="1">
      <c r="A948" s="5"/>
      <c r="B948" s="5"/>
      <c r="C948" s="5"/>
      <c r="E948" s="5"/>
      <c r="L948" s="5"/>
    </row>
    <row r="949" spans="1:12" ht="15.75" customHeight="1">
      <c r="A949" s="5"/>
      <c r="B949" s="5"/>
      <c r="C949" s="5"/>
      <c r="E949" s="5"/>
      <c r="L949" s="5"/>
    </row>
    <row r="950" spans="1:12" ht="15.75" customHeight="1">
      <c r="A950" s="5"/>
      <c r="B950" s="5"/>
      <c r="C950" s="5"/>
      <c r="E950" s="5"/>
      <c r="L950" s="5"/>
    </row>
    <row r="951" spans="1:12" ht="15.75" customHeight="1">
      <c r="A951" s="5"/>
      <c r="B951" s="5"/>
      <c r="C951" s="5"/>
      <c r="E951" s="5"/>
      <c r="L951" s="5"/>
    </row>
    <row r="952" spans="1:12" ht="15.75" customHeight="1">
      <c r="A952" s="5"/>
      <c r="B952" s="5"/>
      <c r="C952" s="5"/>
      <c r="E952" s="5"/>
      <c r="L952" s="5"/>
    </row>
    <row r="953" spans="1:12" ht="15.75" customHeight="1">
      <c r="A953" s="5"/>
      <c r="B953" s="5"/>
      <c r="C953" s="5"/>
      <c r="E953" s="5"/>
      <c r="L953" s="5"/>
    </row>
    <row r="954" spans="1:12" ht="15.75" customHeight="1">
      <c r="A954" s="5"/>
      <c r="B954" s="5"/>
      <c r="C954" s="5"/>
      <c r="E954" s="5"/>
      <c r="L954" s="5"/>
    </row>
    <row r="955" spans="1:12" ht="15.75" customHeight="1">
      <c r="A955" s="5"/>
      <c r="B955" s="5"/>
      <c r="C955" s="5"/>
      <c r="E955" s="5"/>
      <c r="L955" s="5"/>
    </row>
    <row r="956" spans="1:12" ht="15.75" customHeight="1">
      <c r="A956" s="5"/>
      <c r="B956" s="5"/>
      <c r="C956" s="5"/>
      <c r="E956" s="5"/>
      <c r="L956" s="5"/>
    </row>
    <row r="957" spans="1:12" ht="15.75" customHeight="1">
      <c r="A957" s="5"/>
      <c r="B957" s="5"/>
      <c r="C957" s="5"/>
      <c r="E957" s="5"/>
      <c r="L957" s="5"/>
    </row>
    <row r="958" spans="1:12" ht="15.75" customHeight="1">
      <c r="A958" s="5"/>
      <c r="B958" s="5"/>
      <c r="C958" s="5"/>
      <c r="E958" s="5"/>
      <c r="L958" s="5"/>
    </row>
    <row r="959" spans="1:12" ht="15.75" customHeight="1">
      <c r="A959" s="5"/>
      <c r="B959" s="5"/>
      <c r="C959" s="5"/>
      <c r="E959" s="5"/>
      <c r="L959" s="5"/>
    </row>
    <row r="960" spans="1:12" ht="15.75" customHeight="1">
      <c r="A960" s="5"/>
      <c r="B960" s="5"/>
      <c r="C960" s="5"/>
      <c r="E960" s="5"/>
      <c r="L960" s="5"/>
    </row>
    <row r="961" spans="1:12" ht="15.75" customHeight="1">
      <c r="A961" s="5"/>
      <c r="B961" s="5"/>
      <c r="C961" s="5"/>
      <c r="E961" s="5"/>
      <c r="L961" s="5"/>
    </row>
    <row r="962" spans="1:12" ht="15.75" customHeight="1">
      <c r="A962" s="5"/>
      <c r="B962" s="5"/>
      <c r="C962" s="5"/>
      <c r="E962" s="5"/>
      <c r="L962" s="5"/>
    </row>
    <row r="963" spans="1:12" ht="15.75" customHeight="1">
      <c r="A963" s="5"/>
      <c r="B963" s="5"/>
      <c r="C963" s="5"/>
      <c r="E963" s="5"/>
      <c r="L963" s="5"/>
    </row>
    <row r="964" spans="1:12" ht="15.75" customHeight="1">
      <c r="A964" s="5"/>
      <c r="B964" s="5"/>
      <c r="C964" s="5"/>
      <c r="E964" s="5"/>
      <c r="L964" s="5"/>
    </row>
    <row r="965" spans="1:12" ht="15.75" customHeight="1">
      <c r="A965" s="5"/>
      <c r="B965" s="5"/>
      <c r="C965" s="5"/>
      <c r="E965" s="5"/>
      <c r="L965" s="5"/>
    </row>
    <row r="966" spans="1:12" ht="15.75" customHeight="1">
      <c r="A966" s="5"/>
      <c r="B966" s="5"/>
      <c r="C966" s="5"/>
      <c r="E966" s="5"/>
      <c r="L966" s="5"/>
    </row>
    <row r="967" spans="1:12" ht="15.75" customHeight="1">
      <c r="A967" s="5"/>
      <c r="B967" s="5"/>
      <c r="C967" s="5"/>
      <c r="E967" s="5"/>
      <c r="L967" s="5"/>
    </row>
    <row r="968" spans="1:12" ht="15.75" customHeight="1">
      <c r="A968" s="5"/>
      <c r="B968" s="5"/>
      <c r="C968" s="5"/>
      <c r="E968" s="5"/>
      <c r="L968" s="5"/>
    </row>
    <row r="969" spans="1:12" ht="15.75" customHeight="1">
      <c r="A969" s="5"/>
      <c r="B969" s="5"/>
      <c r="C969" s="5"/>
      <c r="E969" s="5"/>
      <c r="L969" s="5"/>
    </row>
    <row r="970" spans="1:12" ht="15.75" customHeight="1">
      <c r="A970" s="5"/>
      <c r="B970" s="5"/>
      <c r="C970" s="5"/>
      <c r="E970" s="5"/>
      <c r="L970" s="5"/>
    </row>
    <row r="971" spans="1:12" ht="15.75" customHeight="1">
      <c r="A971" s="5"/>
      <c r="B971" s="5"/>
      <c r="C971" s="5"/>
      <c r="E971" s="5"/>
      <c r="L971" s="5"/>
    </row>
    <row r="972" spans="1:12" ht="15.75" customHeight="1">
      <c r="A972" s="5"/>
      <c r="B972" s="5"/>
      <c r="C972" s="5"/>
      <c r="E972" s="5"/>
      <c r="L972" s="5"/>
    </row>
    <row r="973" spans="1:12" ht="15.75" customHeight="1">
      <c r="A973" s="5"/>
      <c r="B973" s="5"/>
      <c r="C973" s="5"/>
      <c r="E973" s="5"/>
      <c r="L973" s="5"/>
    </row>
    <row r="974" spans="1:12" ht="15.75" customHeight="1">
      <c r="A974" s="5"/>
      <c r="B974" s="5"/>
      <c r="C974" s="5"/>
      <c r="E974" s="5"/>
      <c r="L974" s="5"/>
    </row>
    <row r="975" spans="1:12" ht="15.75" customHeight="1">
      <c r="A975" s="5"/>
      <c r="B975" s="5"/>
      <c r="C975" s="5"/>
      <c r="E975" s="5"/>
      <c r="L975" s="5"/>
    </row>
    <row r="976" spans="1:12" ht="15.75" customHeight="1">
      <c r="A976" s="5"/>
      <c r="B976" s="5"/>
      <c r="C976" s="5"/>
      <c r="E976" s="5"/>
      <c r="L976" s="5"/>
    </row>
    <row r="977" spans="1:12" ht="15.75" customHeight="1">
      <c r="A977" s="5"/>
      <c r="B977" s="5"/>
      <c r="C977" s="5"/>
      <c r="E977" s="5"/>
      <c r="L977" s="5"/>
    </row>
    <row r="978" spans="1:12" ht="15.75" customHeight="1">
      <c r="A978" s="5"/>
      <c r="B978" s="5"/>
      <c r="C978" s="5"/>
      <c r="E978" s="5"/>
      <c r="L978" s="5"/>
    </row>
    <row r="979" spans="1:12" ht="15.75" customHeight="1">
      <c r="A979" s="5"/>
      <c r="B979" s="5"/>
      <c r="C979" s="5"/>
      <c r="E979" s="5"/>
      <c r="L979" s="5"/>
    </row>
    <row r="980" spans="1:12" ht="15.75" customHeight="1">
      <c r="A980" s="5"/>
      <c r="B980" s="5"/>
      <c r="C980" s="5"/>
      <c r="E980" s="5"/>
      <c r="L980" s="5"/>
    </row>
    <row r="981" spans="1:12" ht="15.75" customHeight="1">
      <c r="A981" s="5"/>
      <c r="B981" s="5"/>
      <c r="C981" s="5"/>
      <c r="E981" s="5"/>
      <c r="L981" s="5"/>
    </row>
    <row r="982" spans="1:12" ht="15.75" customHeight="1">
      <c r="A982" s="5"/>
      <c r="B982" s="5"/>
      <c r="C982" s="5"/>
      <c r="E982" s="5"/>
      <c r="L982" s="5"/>
    </row>
    <row r="983" spans="1:12" ht="15.75" customHeight="1">
      <c r="A983" s="5"/>
      <c r="B983" s="5"/>
      <c r="C983" s="5"/>
      <c r="E983" s="5"/>
      <c r="L983" s="5"/>
    </row>
    <row r="984" spans="1:12" ht="15.75" customHeight="1">
      <c r="A984" s="5"/>
      <c r="B984" s="5"/>
      <c r="C984" s="5"/>
      <c r="E984" s="5"/>
      <c r="L984" s="5"/>
    </row>
    <row r="985" spans="1:12" ht="15.75" customHeight="1">
      <c r="A985" s="5"/>
      <c r="B985" s="5"/>
      <c r="C985" s="5"/>
      <c r="E985" s="5"/>
      <c r="L985" s="5"/>
    </row>
    <row r="986" spans="1:12" ht="15.75" customHeight="1">
      <c r="A986" s="5"/>
      <c r="B986" s="5"/>
      <c r="C986" s="5"/>
      <c r="E986" s="5"/>
      <c r="L986" s="5"/>
    </row>
    <row r="987" spans="1:12" ht="15.75" customHeight="1">
      <c r="A987" s="5"/>
      <c r="B987" s="5"/>
      <c r="C987" s="5"/>
      <c r="E987" s="5"/>
      <c r="L987" s="5"/>
    </row>
    <row r="988" spans="1:12" ht="15.75" customHeight="1">
      <c r="A988" s="5"/>
      <c r="B988" s="5"/>
      <c r="C988" s="5"/>
      <c r="E988" s="5"/>
      <c r="L988" s="5"/>
    </row>
    <row r="989" spans="1:12" ht="15.75" customHeight="1">
      <c r="A989" s="5"/>
      <c r="B989" s="5"/>
      <c r="C989" s="5"/>
      <c r="E989" s="5"/>
      <c r="L989" s="5"/>
    </row>
    <row r="990" spans="1:12" ht="15.75" customHeight="1">
      <c r="A990" s="5"/>
      <c r="B990" s="5"/>
      <c r="C990" s="5"/>
      <c r="E990" s="5"/>
      <c r="L990" s="5"/>
    </row>
    <row r="991" spans="1:12" ht="15.75" customHeight="1">
      <c r="A991" s="5"/>
      <c r="B991" s="5"/>
      <c r="C991" s="5"/>
      <c r="E991" s="5"/>
      <c r="L991" s="5"/>
    </row>
    <row r="992" spans="1:12" ht="15.75" customHeight="1">
      <c r="A992" s="5"/>
      <c r="B992" s="5"/>
      <c r="C992" s="5"/>
      <c r="E992" s="5"/>
      <c r="L992" s="5"/>
    </row>
    <row r="993" spans="1:12" ht="15.75" customHeight="1">
      <c r="A993" s="5"/>
      <c r="B993" s="5"/>
      <c r="C993" s="5"/>
      <c r="E993" s="5"/>
      <c r="L993" s="5"/>
    </row>
    <row r="994" spans="1:12" ht="15.75" customHeight="1">
      <c r="A994" s="5"/>
      <c r="B994" s="5"/>
      <c r="C994" s="5"/>
      <c r="E994" s="5"/>
      <c r="L994" s="5"/>
    </row>
    <row r="995" spans="1:12" ht="15.75" customHeight="1">
      <c r="A995" s="5"/>
      <c r="B995" s="5"/>
      <c r="C995" s="5"/>
      <c r="E995" s="5"/>
      <c r="L995" s="5"/>
    </row>
    <row r="996" spans="1:12" ht="15.75" customHeight="1">
      <c r="A996" s="5"/>
      <c r="B996" s="5"/>
      <c r="C996" s="5"/>
      <c r="E996" s="5"/>
      <c r="L996" s="5"/>
    </row>
    <row r="997" spans="1:12" ht="15.75" customHeight="1">
      <c r="A997" s="5"/>
      <c r="B997" s="5"/>
      <c r="C997" s="5"/>
      <c r="E997" s="5"/>
      <c r="L997" s="5"/>
    </row>
    <row r="998" spans="1:12" ht="15.75" customHeight="1">
      <c r="A998" s="5"/>
      <c r="B998" s="5"/>
      <c r="C998" s="5"/>
      <c r="E998" s="5"/>
      <c r="L998" s="5"/>
    </row>
    <row r="999" spans="1:12" ht="15.75" customHeight="1">
      <c r="A999" s="5"/>
      <c r="B999" s="5"/>
      <c r="C999" s="5"/>
      <c r="E999" s="5"/>
      <c r="L999" s="5"/>
    </row>
    <row r="1000" spans="1:12" ht="15.75" customHeight="1">
      <c r="A1000" s="5"/>
      <c r="B1000" s="5"/>
      <c r="C1000" s="5"/>
      <c r="E1000" s="5"/>
      <c r="L1000" s="5"/>
    </row>
  </sheetData>
  <pageMargins left="0.7" right="0.7" top="0.75" bottom="0.75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showGridLines="0" workbookViewId="0">
      <selection activeCell="E18" sqref="E18"/>
    </sheetView>
  </sheetViews>
  <sheetFormatPr baseColWidth="10" defaultColWidth="12.5703125" defaultRowHeight="15" customHeight="1"/>
  <cols>
    <col min="1" max="6" width="12.5703125" customWidth="1"/>
  </cols>
  <sheetData>
    <row r="1" spans="1:4" ht="12.75" customHeight="1">
      <c r="A1" s="30"/>
      <c r="B1" s="31" t="s">
        <v>1093</v>
      </c>
      <c r="C1" s="32"/>
      <c r="D1" s="33"/>
    </row>
    <row r="2" spans="1:4" ht="12.75" customHeight="1">
      <c r="A2" s="31" t="s">
        <v>14</v>
      </c>
      <c r="B2" s="30" t="s">
        <v>37</v>
      </c>
      <c r="C2" s="34" t="s">
        <v>38</v>
      </c>
      <c r="D2" s="35" t="s">
        <v>40</v>
      </c>
    </row>
    <row r="3" spans="1:4" ht="12.75" customHeight="1">
      <c r="A3" s="36" t="s">
        <v>0</v>
      </c>
      <c r="B3" s="37">
        <v>26460</v>
      </c>
      <c r="C3" s="38">
        <v>0</v>
      </c>
      <c r="D3" s="39">
        <v>26460</v>
      </c>
    </row>
    <row r="4" spans="1:4" ht="12.75" customHeight="1">
      <c r="A4" s="20"/>
      <c r="B4" s="21"/>
      <c r="C4" s="22"/>
      <c r="D4" s="23"/>
    </row>
    <row r="5" spans="1:4" ht="12.75" customHeight="1">
      <c r="A5" s="24"/>
      <c r="B5" s="25"/>
      <c r="C5" s="26"/>
      <c r="D5" s="27"/>
    </row>
    <row r="6" spans="1:4" ht="15.75" customHeight="1"/>
    <row r="7" spans="1:4" ht="15.75" customHeight="1"/>
    <row r="8" spans="1:4" ht="15.75" customHeight="1"/>
    <row r="9" spans="1:4" ht="15.75" customHeight="1"/>
    <row r="10" spans="1:4" ht="15.75" customHeight="1"/>
    <row r="11" spans="1:4" ht="15.75" customHeight="1"/>
    <row r="12" spans="1:4" ht="12.75" customHeight="1">
      <c r="A12" s="28" t="s">
        <v>18</v>
      </c>
      <c r="B12" s="29">
        <f>avancement!D2</f>
        <v>0.10773680404916849</v>
      </c>
    </row>
    <row r="13" spans="1:4" ht="15.75" customHeight="1"/>
    <row r="14" spans="1:4" ht="15.75" customHeight="1"/>
    <row r="15" spans="1:4" ht="15.75" customHeight="1"/>
    <row r="16" spans="1: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baseColWidth="10" defaultColWidth="12.5703125" defaultRowHeight="15" customHeight="1"/>
  <cols>
    <col min="1" max="1" width="15.7109375" customWidth="1"/>
    <col min="2" max="2" width="17.85546875" customWidth="1"/>
    <col min="3" max="3" width="17" customWidth="1"/>
    <col min="4" max="4" width="18.28515625" customWidth="1"/>
    <col min="5" max="5" width="13.7109375" customWidth="1"/>
    <col min="6" max="6" width="12.5703125" customWidth="1"/>
  </cols>
  <sheetData>
    <row r="1" spans="1:6" ht="15.75" customHeight="1">
      <c r="A1" s="3" t="s">
        <v>2</v>
      </c>
      <c r="B1" s="3" t="s">
        <v>5</v>
      </c>
      <c r="C1" s="3" t="s">
        <v>6</v>
      </c>
      <c r="D1" s="3" t="s">
        <v>8</v>
      </c>
      <c r="E1" s="3" t="s">
        <v>10</v>
      </c>
      <c r="F1" s="5" t="s">
        <v>12</v>
      </c>
    </row>
    <row r="2" spans="1:6" ht="15" customHeight="1">
      <c r="A2" s="9">
        <f>SUM('liste des taches'!H:H)</f>
        <v>26460</v>
      </c>
      <c r="B2" s="9">
        <f>SUM('liste des taches'!I:I)</f>
        <v>3675</v>
      </c>
      <c r="C2" s="11">
        <f>SUM('liste des taches'!J2:J1000)</f>
        <v>22935</v>
      </c>
      <c r="D2" s="12">
        <f>AVERAGEIF('liste des taches'!H2:H1000,"&gt;0",'liste des taches'!K2:K1000)</f>
        <v>0.10773680404916849</v>
      </c>
      <c r="E2" s="12">
        <f>SUM('liste des taches'!L2:L1000)/SUM('liste des taches'!H2:H1000)</f>
        <v>5.6689342403628117E-3</v>
      </c>
      <c r="F2" s="5">
        <f>SUM('liste des taches'!J2:J1000)</f>
        <v>22935</v>
      </c>
    </row>
    <row r="3" spans="1:6" ht="15" customHeight="1">
      <c r="A3" s="15">
        <f>A2/60</f>
        <v>441</v>
      </c>
      <c r="B3" s="15"/>
      <c r="C3" s="9">
        <f>C2/60</f>
        <v>382.25</v>
      </c>
      <c r="D3" s="15" t="s">
        <v>26</v>
      </c>
      <c r="E3" s="15"/>
      <c r="F3" s="5">
        <f>F2/60</f>
        <v>382.25</v>
      </c>
    </row>
    <row r="4" spans="1:6" ht="15.75" customHeight="1">
      <c r="A4" s="5"/>
      <c r="B4" s="5"/>
      <c r="C4" s="5"/>
      <c r="D4" s="5"/>
      <c r="E4" s="5"/>
    </row>
    <row r="5" spans="1:6" ht="15.75" customHeight="1">
      <c r="A5" s="5"/>
      <c r="B5" s="5"/>
      <c r="C5" s="5"/>
      <c r="D5" s="5"/>
      <c r="E5" s="5"/>
    </row>
    <row r="6" spans="1:6" ht="15.75" customHeight="1">
      <c r="A6" s="5"/>
      <c r="B6" s="5"/>
      <c r="C6" s="5"/>
      <c r="D6" s="5"/>
      <c r="E6" s="5"/>
    </row>
    <row r="7" spans="1:6" ht="15.75" customHeight="1">
      <c r="A7" s="5"/>
      <c r="B7" s="5"/>
      <c r="C7" s="5"/>
      <c r="D7" s="5"/>
      <c r="E7" s="5"/>
    </row>
    <row r="8" spans="1:6" ht="15.75" customHeight="1">
      <c r="A8" s="5"/>
      <c r="B8" s="5"/>
      <c r="C8" s="5"/>
      <c r="D8" s="5"/>
      <c r="E8" s="5"/>
    </row>
    <row r="9" spans="1:6" ht="15.75" customHeight="1">
      <c r="A9" s="5"/>
      <c r="B9" s="5"/>
      <c r="C9" s="5"/>
      <c r="D9" s="5"/>
      <c r="E9" s="5"/>
    </row>
    <row r="10" spans="1:6" ht="15.75" customHeight="1">
      <c r="A10" s="5"/>
      <c r="B10" s="5"/>
      <c r="C10" s="5"/>
      <c r="D10" s="5"/>
      <c r="E10" s="5"/>
    </row>
    <row r="11" spans="1:6" ht="15.75" customHeight="1">
      <c r="A11" s="5"/>
      <c r="B11" s="5"/>
      <c r="C11" s="5"/>
      <c r="D11" s="5"/>
      <c r="E11" s="5"/>
    </row>
    <row r="12" spans="1:6" ht="15.75" customHeight="1">
      <c r="A12" s="5"/>
      <c r="B12" s="5"/>
      <c r="C12" s="5"/>
      <c r="D12" s="5"/>
      <c r="E12" s="5"/>
    </row>
    <row r="13" spans="1:6" ht="15.75" customHeight="1">
      <c r="A13" s="5"/>
      <c r="B13" s="5"/>
      <c r="C13" s="5"/>
      <c r="D13" s="5"/>
      <c r="E13" s="5"/>
    </row>
    <row r="14" spans="1:6" ht="15.75" customHeight="1">
      <c r="A14" s="5"/>
      <c r="B14" s="5"/>
      <c r="C14" s="5"/>
      <c r="D14" s="5"/>
      <c r="E14" s="5"/>
    </row>
    <row r="15" spans="1:6" ht="15.75" customHeight="1">
      <c r="A15" s="5"/>
      <c r="B15" s="5"/>
      <c r="C15" s="5"/>
      <c r="D15" s="5"/>
      <c r="E15" s="5"/>
    </row>
    <row r="16" spans="1:6" ht="15.75" customHeight="1">
      <c r="A16" s="5"/>
      <c r="B16" s="5"/>
      <c r="C16" s="5"/>
      <c r="D16" s="5"/>
      <c r="E16" s="5"/>
    </row>
    <row r="17" spans="1:5" ht="15.75" customHeight="1">
      <c r="A17" s="5"/>
      <c r="B17" s="5"/>
      <c r="C17" s="5"/>
      <c r="D17" s="5"/>
      <c r="E17" s="5"/>
    </row>
    <row r="18" spans="1:5" ht="15.75" customHeight="1">
      <c r="A18" s="5"/>
      <c r="B18" s="5"/>
      <c r="C18" s="5"/>
      <c r="D18" s="5"/>
      <c r="E18" s="5"/>
    </row>
    <row r="19" spans="1:5" ht="15.75" customHeight="1">
      <c r="A19" s="5"/>
      <c r="B19" s="5"/>
      <c r="C19" s="5"/>
      <c r="D19" s="5"/>
      <c r="E19" s="5"/>
    </row>
    <row r="20" spans="1:5" ht="15.75" customHeight="1">
      <c r="A20" s="5"/>
      <c r="B20" s="5"/>
      <c r="C20" s="5"/>
      <c r="D20" s="5"/>
      <c r="E20" s="5"/>
    </row>
    <row r="21" spans="1:5" ht="15.75" customHeight="1">
      <c r="A21" s="5"/>
      <c r="B21" s="5"/>
      <c r="C21" s="5"/>
      <c r="D21" s="5"/>
      <c r="E21" s="5"/>
    </row>
    <row r="22" spans="1:5" ht="15.75" customHeight="1">
      <c r="A22" s="5"/>
      <c r="B22" s="5"/>
      <c r="C22" s="5"/>
      <c r="D22" s="5"/>
      <c r="E22" s="5"/>
    </row>
    <row r="23" spans="1:5" ht="15.75" customHeight="1">
      <c r="A23" s="5"/>
      <c r="B23" s="5"/>
      <c r="C23" s="5"/>
      <c r="D23" s="5"/>
      <c r="E23" s="5"/>
    </row>
    <row r="24" spans="1:5" ht="15.75" customHeight="1">
      <c r="A24" s="5"/>
      <c r="B24" s="5"/>
      <c r="C24" s="5"/>
      <c r="D24" s="5"/>
      <c r="E24" s="5"/>
    </row>
    <row r="25" spans="1:5" ht="15.75" customHeight="1">
      <c r="A25" s="5"/>
      <c r="B25" s="5"/>
      <c r="C25" s="5"/>
      <c r="D25" s="5"/>
      <c r="E25" s="5"/>
    </row>
    <row r="26" spans="1:5" ht="15.75" customHeight="1">
      <c r="A26" s="5"/>
      <c r="B26" s="5"/>
      <c r="C26" s="5"/>
      <c r="D26" s="5"/>
      <c r="E26" s="5"/>
    </row>
    <row r="27" spans="1:5" ht="15.75" customHeight="1">
      <c r="A27" s="5"/>
      <c r="B27" s="5"/>
      <c r="C27" s="5"/>
      <c r="D27" s="5"/>
      <c r="E27" s="5"/>
    </row>
    <row r="28" spans="1:5" ht="15.75" customHeight="1">
      <c r="A28" s="5"/>
      <c r="B28" s="5"/>
      <c r="C28" s="5"/>
      <c r="D28" s="5"/>
      <c r="E28" s="5"/>
    </row>
    <row r="29" spans="1:5" ht="15.75" customHeight="1">
      <c r="A29" s="5"/>
      <c r="B29" s="5"/>
      <c r="C29" s="5"/>
      <c r="D29" s="5"/>
      <c r="E29" s="5"/>
    </row>
    <row r="30" spans="1:5" ht="15.75" customHeight="1">
      <c r="A30" s="5"/>
      <c r="B30" s="5"/>
      <c r="C30" s="5"/>
      <c r="D30" s="5"/>
      <c r="E30" s="5"/>
    </row>
    <row r="31" spans="1:5" ht="15.75" customHeight="1">
      <c r="A31" s="5"/>
      <c r="B31" s="5"/>
      <c r="C31" s="5"/>
      <c r="D31" s="5"/>
      <c r="E31" s="5"/>
    </row>
    <row r="32" spans="1:5" ht="15.75" customHeight="1">
      <c r="A32" s="5"/>
      <c r="B32" s="5"/>
      <c r="C32" s="5"/>
      <c r="D32" s="5"/>
      <c r="E32" s="5"/>
    </row>
    <row r="33" spans="1:5" ht="15.75" customHeight="1">
      <c r="A33" s="5"/>
      <c r="B33" s="5"/>
      <c r="C33" s="5"/>
      <c r="D33" s="5"/>
      <c r="E33" s="5"/>
    </row>
    <row r="34" spans="1:5" ht="15.75" customHeight="1">
      <c r="A34" s="5"/>
      <c r="B34" s="5"/>
      <c r="C34" s="5"/>
      <c r="D34" s="5"/>
      <c r="E34" s="5"/>
    </row>
    <row r="35" spans="1:5" ht="15.75" customHeight="1">
      <c r="A35" s="5"/>
      <c r="B35" s="5"/>
      <c r="C35" s="5"/>
      <c r="D35" s="5"/>
      <c r="E35" s="5"/>
    </row>
    <row r="36" spans="1:5" ht="15.75" customHeight="1">
      <c r="A36" s="5"/>
      <c r="B36" s="5"/>
      <c r="C36" s="5"/>
      <c r="D36" s="5"/>
      <c r="E36" s="5"/>
    </row>
    <row r="37" spans="1:5" ht="15.75" customHeight="1">
      <c r="A37" s="5"/>
      <c r="B37" s="5"/>
      <c r="C37" s="5"/>
      <c r="D37" s="5"/>
      <c r="E37" s="5"/>
    </row>
    <row r="38" spans="1:5" ht="15.75" customHeight="1">
      <c r="A38" s="5"/>
      <c r="B38" s="5"/>
      <c r="C38" s="5"/>
      <c r="D38" s="5"/>
      <c r="E38" s="5"/>
    </row>
    <row r="39" spans="1:5" ht="15.75" customHeight="1">
      <c r="A39" s="5"/>
      <c r="B39" s="5"/>
      <c r="C39" s="5"/>
      <c r="D39" s="5"/>
      <c r="E39" s="5"/>
    </row>
    <row r="40" spans="1:5" ht="15.75" customHeight="1">
      <c r="A40" s="5"/>
      <c r="B40" s="5"/>
      <c r="C40" s="5"/>
      <c r="D40" s="5"/>
      <c r="E40" s="5"/>
    </row>
    <row r="41" spans="1:5" ht="15.75" customHeight="1">
      <c r="A41" s="5"/>
      <c r="B41" s="5"/>
      <c r="C41" s="5"/>
      <c r="D41" s="5"/>
      <c r="E41" s="5"/>
    </row>
    <row r="42" spans="1:5" ht="15.75" customHeight="1">
      <c r="A42" s="5"/>
      <c r="B42" s="5"/>
      <c r="C42" s="5"/>
      <c r="D42" s="5"/>
      <c r="E42" s="5"/>
    </row>
    <row r="43" spans="1:5" ht="15.75" customHeight="1">
      <c r="A43" s="5"/>
      <c r="B43" s="5"/>
      <c r="C43" s="5"/>
      <c r="D43" s="5"/>
      <c r="E43" s="5"/>
    </row>
    <row r="44" spans="1:5" ht="15.75" customHeight="1">
      <c r="A44" s="5"/>
      <c r="B44" s="5"/>
      <c r="C44" s="5"/>
      <c r="D44" s="5"/>
      <c r="E44" s="5"/>
    </row>
    <row r="45" spans="1:5" ht="15.75" customHeight="1">
      <c r="A45" s="5"/>
      <c r="B45" s="5"/>
      <c r="C45" s="5"/>
      <c r="D45" s="5"/>
      <c r="E45" s="5"/>
    </row>
    <row r="46" spans="1:5" ht="15.75" customHeight="1">
      <c r="A46" s="5"/>
      <c r="B46" s="5"/>
      <c r="C46" s="5"/>
      <c r="D46" s="5"/>
      <c r="E46" s="5"/>
    </row>
    <row r="47" spans="1:5" ht="15.75" customHeight="1">
      <c r="A47" s="5"/>
      <c r="B47" s="5"/>
      <c r="C47" s="5"/>
      <c r="D47" s="5"/>
      <c r="E47" s="5"/>
    </row>
    <row r="48" spans="1:5" ht="15.75" customHeight="1">
      <c r="A48" s="5"/>
      <c r="B48" s="5"/>
      <c r="C48" s="5"/>
      <c r="D48" s="5"/>
      <c r="E48" s="5"/>
    </row>
    <row r="49" spans="1:5" ht="15.75" customHeight="1">
      <c r="A49" s="5"/>
      <c r="B49" s="5"/>
      <c r="C49" s="5"/>
      <c r="D49" s="5"/>
      <c r="E49" s="5"/>
    </row>
    <row r="50" spans="1:5" ht="15.75" customHeight="1">
      <c r="A50" s="5"/>
      <c r="B50" s="5"/>
      <c r="C50" s="5"/>
      <c r="D50" s="5"/>
      <c r="E50" s="5"/>
    </row>
    <row r="51" spans="1:5" ht="15.75" customHeight="1">
      <c r="A51" s="5"/>
      <c r="B51" s="5"/>
      <c r="C51" s="5"/>
      <c r="D51" s="5"/>
      <c r="E51" s="5"/>
    </row>
    <row r="52" spans="1:5" ht="15.75" customHeight="1">
      <c r="A52" s="5"/>
      <c r="B52" s="5"/>
      <c r="C52" s="5"/>
      <c r="D52" s="5"/>
      <c r="E52" s="5"/>
    </row>
    <row r="53" spans="1:5" ht="15.75" customHeight="1">
      <c r="A53" s="5"/>
      <c r="B53" s="5"/>
      <c r="C53" s="5"/>
      <c r="D53" s="5"/>
      <c r="E53" s="5"/>
    </row>
    <row r="54" spans="1:5" ht="15.75" customHeight="1">
      <c r="A54" s="5"/>
      <c r="B54" s="5"/>
      <c r="C54" s="5"/>
      <c r="D54" s="5"/>
      <c r="E54" s="5"/>
    </row>
    <row r="55" spans="1:5" ht="15.75" customHeight="1">
      <c r="A55" s="5"/>
      <c r="B55" s="5"/>
      <c r="C55" s="5"/>
      <c r="D55" s="5"/>
      <c r="E55" s="5"/>
    </row>
    <row r="56" spans="1:5" ht="15.75" customHeight="1">
      <c r="A56" s="5"/>
      <c r="B56" s="5"/>
      <c r="C56" s="5"/>
      <c r="D56" s="5"/>
      <c r="E56" s="5"/>
    </row>
    <row r="57" spans="1:5" ht="15.75" customHeight="1">
      <c r="A57" s="5"/>
      <c r="B57" s="5"/>
      <c r="C57" s="5"/>
      <c r="D57" s="5"/>
      <c r="E57" s="5"/>
    </row>
    <row r="58" spans="1:5" ht="15.75" customHeight="1">
      <c r="A58" s="5"/>
      <c r="B58" s="5"/>
      <c r="C58" s="5"/>
      <c r="D58" s="5"/>
      <c r="E58" s="5"/>
    </row>
    <row r="59" spans="1:5" ht="15.75" customHeight="1">
      <c r="A59" s="5"/>
      <c r="B59" s="5"/>
      <c r="C59" s="5"/>
      <c r="D59" s="5"/>
      <c r="E59" s="5"/>
    </row>
    <row r="60" spans="1:5" ht="15.75" customHeight="1">
      <c r="A60" s="5"/>
      <c r="B60" s="5"/>
      <c r="C60" s="5"/>
      <c r="D60" s="5"/>
      <c r="E60" s="5"/>
    </row>
    <row r="61" spans="1:5" ht="15.75" customHeight="1">
      <c r="A61" s="5"/>
      <c r="B61" s="5"/>
      <c r="C61" s="5"/>
      <c r="D61" s="5"/>
      <c r="E61" s="5"/>
    </row>
    <row r="62" spans="1:5" ht="15.75" customHeight="1">
      <c r="A62" s="5"/>
      <c r="B62" s="5"/>
      <c r="C62" s="5"/>
      <c r="D62" s="5"/>
      <c r="E62" s="5"/>
    </row>
    <row r="63" spans="1:5" ht="15.75" customHeight="1">
      <c r="A63" s="5"/>
      <c r="B63" s="5"/>
      <c r="C63" s="5"/>
      <c r="D63" s="5"/>
      <c r="E63" s="5"/>
    </row>
    <row r="64" spans="1:5" ht="15.75" customHeight="1">
      <c r="A64" s="5"/>
      <c r="B64" s="5"/>
      <c r="C64" s="5"/>
      <c r="D64" s="5"/>
      <c r="E64" s="5"/>
    </row>
    <row r="65" spans="1:5" ht="15.75" customHeight="1">
      <c r="A65" s="5"/>
      <c r="B65" s="5"/>
      <c r="C65" s="5"/>
      <c r="D65" s="5"/>
      <c r="E65" s="5"/>
    </row>
    <row r="66" spans="1:5" ht="15.75" customHeight="1">
      <c r="A66" s="5"/>
      <c r="B66" s="5"/>
      <c r="C66" s="5"/>
      <c r="D66" s="5"/>
      <c r="E66" s="5"/>
    </row>
    <row r="67" spans="1:5" ht="15.75" customHeight="1">
      <c r="A67" s="5"/>
      <c r="B67" s="5"/>
      <c r="C67" s="5"/>
      <c r="D67" s="5"/>
      <c r="E67" s="5"/>
    </row>
    <row r="68" spans="1:5" ht="15.75" customHeight="1">
      <c r="A68" s="5"/>
      <c r="B68" s="5"/>
      <c r="C68" s="5"/>
      <c r="D68" s="5"/>
      <c r="E68" s="5"/>
    </row>
    <row r="69" spans="1:5" ht="15.75" customHeight="1">
      <c r="A69" s="5"/>
      <c r="B69" s="5"/>
      <c r="C69" s="5"/>
      <c r="D69" s="5"/>
      <c r="E69" s="5"/>
    </row>
    <row r="70" spans="1:5" ht="15.75" customHeight="1">
      <c r="A70" s="5"/>
      <c r="B70" s="5"/>
      <c r="C70" s="5"/>
      <c r="D70" s="5"/>
      <c r="E70" s="5"/>
    </row>
    <row r="71" spans="1:5" ht="15.75" customHeight="1">
      <c r="A71" s="5"/>
      <c r="B71" s="5"/>
      <c r="C71" s="5"/>
      <c r="D71" s="5"/>
      <c r="E71" s="5"/>
    </row>
    <row r="72" spans="1:5" ht="15.75" customHeight="1">
      <c r="A72" s="5"/>
      <c r="B72" s="5"/>
      <c r="C72" s="5"/>
      <c r="D72" s="5"/>
      <c r="E72" s="5"/>
    </row>
    <row r="73" spans="1:5" ht="15.75" customHeight="1">
      <c r="A73" s="5"/>
      <c r="B73" s="5"/>
      <c r="C73" s="5"/>
      <c r="D73" s="5"/>
      <c r="E73" s="5"/>
    </row>
    <row r="74" spans="1:5" ht="15.75" customHeight="1">
      <c r="A74" s="5"/>
      <c r="B74" s="5"/>
      <c r="C74" s="5"/>
      <c r="D74" s="5"/>
      <c r="E74" s="5"/>
    </row>
    <row r="75" spans="1:5" ht="15.75" customHeight="1">
      <c r="A75" s="5"/>
      <c r="B75" s="5"/>
      <c r="C75" s="5"/>
      <c r="D75" s="5"/>
      <c r="E75" s="5"/>
    </row>
    <row r="76" spans="1:5" ht="15.75" customHeight="1">
      <c r="A76" s="5"/>
      <c r="B76" s="5"/>
      <c r="C76" s="5"/>
      <c r="D76" s="5"/>
      <c r="E76" s="5"/>
    </row>
    <row r="77" spans="1:5" ht="15.75" customHeight="1">
      <c r="A77" s="5"/>
      <c r="B77" s="5"/>
      <c r="C77" s="5"/>
      <c r="D77" s="5"/>
      <c r="E77" s="5"/>
    </row>
    <row r="78" spans="1:5" ht="15.75" customHeight="1">
      <c r="A78" s="5"/>
      <c r="B78" s="5"/>
      <c r="C78" s="5"/>
      <c r="D78" s="5"/>
      <c r="E78" s="5"/>
    </row>
    <row r="79" spans="1:5" ht="15.75" customHeight="1">
      <c r="A79" s="5"/>
      <c r="B79" s="5"/>
      <c r="C79" s="5"/>
      <c r="D79" s="5"/>
      <c r="E79" s="5"/>
    </row>
    <row r="80" spans="1:5" ht="15.75" customHeight="1">
      <c r="A80" s="5"/>
      <c r="B80" s="5"/>
      <c r="C80" s="5"/>
      <c r="D80" s="5"/>
      <c r="E80" s="5"/>
    </row>
    <row r="81" spans="1:5" ht="15.75" customHeight="1">
      <c r="A81" s="5"/>
      <c r="B81" s="5"/>
      <c r="C81" s="5"/>
      <c r="D81" s="5"/>
      <c r="E81" s="5"/>
    </row>
    <row r="82" spans="1:5" ht="15.75" customHeight="1">
      <c r="A82" s="5"/>
      <c r="B82" s="5"/>
      <c r="C82" s="5"/>
      <c r="D82" s="5"/>
      <c r="E82" s="5"/>
    </row>
    <row r="83" spans="1:5" ht="15.75" customHeight="1">
      <c r="A83" s="5"/>
      <c r="B83" s="5"/>
      <c r="C83" s="5"/>
      <c r="D83" s="5"/>
      <c r="E83" s="5"/>
    </row>
    <row r="84" spans="1:5" ht="15.75" customHeight="1">
      <c r="A84" s="5"/>
      <c r="B84" s="5"/>
      <c r="C84" s="5"/>
      <c r="D84" s="5"/>
      <c r="E84" s="5"/>
    </row>
    <row r="85" spans="1:5" ht="15.75" customHeight="1">
      <c r="A85" s="5"/>
      <c r="B85" s="5"/>
      <c r="C85" s="5"/>
      <c r="D85" s="5"/>
      <c r="E85" s="5"/>
    </row>
    <row r="86" spans="1:5" ht="15.75" customHeight="1">
      <c r="A86" s="5"/>
      <c r="B86" s="5"/>
      <c r="C86" s="5"/>
      <c r="D86" s="5"/>
      <c r="E86" s="5"/>
    </row>
    <row r="87" spans="1:5" ht="15.75" customHeight="1">
      <c r="A87" s="5"/>
      <c r="B87" s="5"/>
      <c r="C87" s="5"/>
      <c r="D87" s="5"/>
      <c r="E87" s="5"/>
    </row>
    <row r="88" spans="1:5" ht="15.75" customHeight="1">
      <c r="A88" s="5"/>
      <c r="B88" s="5"/>
      <c r="C88" s="5"/>
      <c r="D88" s="5"/>
      <c r="E88" s="5"/>
    </row>
    <row r="89" spans="1:5" ht="15.75" customHeight="1">
      <c r="A89" s="5"/>
      <c r="B89" s="5"/>
      <c r="C89" s="5"/>
      <c r="D89" s="5"/>
      <c r="E89" s="5"/>
    </row>
    <row r="90" spans="1:5" ht="15.75" customHeight="1">
      <c r="A90" s="5"/>
      <c r="B90" s="5"/>
      <c r="C90" s="5"/>
      <c r="D90" s="5"/>
      <c r="E90" s="5"/>
    </row>
    <row r="91" spans="1:5" ht="15.75" customHeight="1">
      <c r="A91" s="5"/>
      <c r="B91" s="5"/>
      <c r="C91" s="5"/>
      <c r="D91" s="5"/>
      <c r="E91" s="5"/>
    </row>
    <row r="92" spans="1:5" ht="15.75" customHeight="1">
      <c r="A92" s="5"/>
      <c r="B92" s="5"/>
      <c r="C92" s="5"/>
      <c r="D92" s="5"/>
      <c r="E92" s="5"/>
    </row>
    <row r="93" spans="1:5" ht="15.75" customHeight="1">
      <c r="A93" s="5"/>
      <c r="B93" s="5"/>
      <c r="C93" s="5"/>
      <c r="D93" s="5"/>
      <c r="E93" s="5"/>
    </row>
    <row r="94" spans="1:5" ht="15.75" customHeight="1">
      <c r="A94" s="5"/>
      <c r="B94" s="5"/>
      <c r="C94" s="5"/>
      <c r="D94" s="5"/>
      <c r="E94" s="5"/>
    </row>
    <row r="95" spans="1:5" ht="15.75" customHeight="1">
      <c r="A95" s="5"/>
      <c r="B95" s="5"/>
      <c r="C95" s="5"/>
      <c r="D95" s="5"/>
      <c r="E95" s="5"/>
    </row>
    <row r="96" spans="1:5" ht="15.75" customHeight="1">
      <c r="A96" s="5"/>
      <c r="B96" s="5"/>
      <c r="C96" s="5"/>
      <c r="D96" s="5"/>
      <c r="E96" s="5"/>
    </row>
    <row r="97" spans="1:5" ht="15.75" customHeight="1">
      <c r="A97" s="5"/>
      <c r="B97" s="5"/>
      <c r="C97" s="5"/>
      <c r="D97" s="5"/>
      <c r="E97" s="5"/>
    </row>
    <row r="98" spans="1:5" ht="15.75" customHeight="1">
      <c r="A98" s="5"/>
      <c r="B98" s="5"/>
      <c r="C98" s="5"/>
      <c r="D98" s="5"/>
      <c r="E98" s="5"/>
    </row>
    <row r="99" spans="1:5" ht="15.75" customHeight="1">
      <c r="A99" s="5"/>
      <c r="B99" s="5"/>
      <c r="C99" s="5"/>
      <c r="D99" s="5"/>
      <c r="E99" s="5"/>
    </row>
    <row r="100" spans="1:5" ht="15.75" customHeight="1">
      <c r="A100" s="5"/>
      <c r="B100" s="5"/>
      <c r="C100" s="5"/>
      <c r="D100" s="5"/>
      <c r="E100" s="5"/>
    </row>
    <row r="101" spans="1:5" ht="15.75" customHeight="1">
      <c r="A101" s="5"/>
      <c r="B101" s="5"/>
      <c r="C101" s="5"/>
      <c r="D101" s="5"/>
      <c r="E101" s="5"/>
    </row>
    <row r="102" spans="1:5" ht="15.75" customHeight="1">
      <c r="A102" s="5"/>
      <c r="B102" s="5"/>
      <c r="C102" s="5"/>
      <c r="D102" s="5"/>
      <c r="E102" s="5"/>
    </row>
    <row r="103" spans="1:5" ht="15.75" customHeight="1">
      <c r="A103" s="5"/>
      <c r="B103" s="5"/>
      <c r="C103" s="5"/>
      <c r="D103" s="5"/>
      <c r="E103" s="5"/>
    </row>
    <row r="104" spans="1:5" ht="15.75" customHeight="1">
      <c r="A104" s="5"/>
      <c r="B104" s="5"/>
      <c r="C104" s="5"/>
      <c r="D104" s="5"/>
      <c r="E104" s="5"/>
    </row>
    <row r="105" spans="1:5" ht="15.75" customHeight="1">
      <c r="A105" s="5"/>
      <c r="B105" s="5"/>
      <c r="C105" s="5"/>
      <c r="D105" s="5"/>
      <c r="E105" s="5"/>
    </row>
    <row r="106" spans="1:5" ht="15.75" customHeight="1">
      <c r="A106" s="5"/>
      <c r="B106" s="5"/>
      <c r="C106" s="5"/>
      <c r="D106" s="5"/>
      <c r="E106" s="5"/>
    </row>
    <row r="107" spans="1:5" ht="15.75" customHeight="1">
      <c r="A107" s="5"/>
      <c r="B107" s="5"/>
      <c r="C107" s="5"/>
      <c r="D107" s="5"/>
      <c r="E107" s="5"/>
    </row>
    <row r="108" spans="1:5" ht="15.75" customHeight="1">
      <c r="A108" s="5"/>
      <c r="B108" s="5"/>
      <c r="C108" s="5"/>
      <c r="D108" s="5"/>
      <c r="E108" s="5"/>
    </row>
    <row r="109" spans="1:5" ht="15.75" customHeight="1">
      <c r="A109" s="5"/>
      <c r="B109" s="5"/>
      <c r="C109" s="5"/>
      <c r="D109" s="5"/>
      <c r="E109" s="5"/>
    </row>
    <row r="110" spans="1:5" ht="15.75" customHeight="1">
      <c r="A110" s="5"/>
      <c r="B110" s="5"/>
      <c r="C110" s="5"/>
      <c r="D110" s="5"/>
      <c r="E110" s="5"/>
    </row>
    <row r="111" spans="1:5" ht="15.75" customHeight="1">
      <c r="A111" s="5"/>
      <c r="B111" s="5"/>
      <c r="C111" s="5"/>
      <c r="D111" s="5"/>
      <c r="E111" s="5"/>
    </row>
    <row r="112" spans="1:5" ht="15.75" customHeight="1">
      <c r="A112" s="5"/>
      <c r="B112" s="5"/>
      <c r="C112" s="5"/>
      <c r="D112" s="5"/>
      <c r="E112" s="5"/>
    </row>
    <row r="113" spans="1:5" ht="15.75" customHeight="1">
      <c r="A113" s="5"/>
      <c r="B113" s="5"/>
      <c r="C113" s="5"/>
      <c r="D113" s="5"/>
      <c r="E113" s="5"/>
    </row>
    <row r="114" spans="1:5" ht="15.75" customHeight="1">
      <c r="A114" s="5"/>
      <c r="B114" s="5"/>
      <c r="C114" s="5"/>
      <c r="D114" s="5"/>
      <c r="E114" s="5"/>
    </row>
    <row r="115" spans="1:5" ht="15.75" customHeight="1">
      <c r="A115" s="5"/>
      <c r="B115" s="5"/>
      <c r="C115" s="5"/>
      <c r="D115" s="5"/>
      <c r="E115" s="5"/>
    </row>
    <row r="116" spans="1:5" ht="15.75" customHeight="1">
      <c r="A116" s="5"/>
      <c r="B116" s="5"/>
      <c r="C116" s="5"/>
      <c r="D116" s="5"/>
      <c r="E116" s="5"/>
    </row>
    <row r="117" spans="1:5" ht="15.75" customHeight="1">
      <c r="A117" s="5"/>
      <c r="B117" s="5"/>
      <c r="C117" s="5"/>
      <c r="D117" s="5"/>
      <c r="E117" s="5"/>
    </row>
    <row r="118" spans="1:5" ht="15.75" customHeight="1">
      <c r="A118" s="5"/>
      <c r="B118" s="5"/>
      <c r="C118" s="5"/>
      <c r="D118" s="5"/>
      <c r="E118" s="5"/>
    </row>
    <row r="119" spans="1:5" ht="15.75" customHeight="1">
      <c r="A119" s="5"/>
      <c r="B119" s="5"/>
      <c r="C119" s="5"/>
      <c r="D119" s="5"/>
      <c r="E119" s="5"/>
    </row>
    <row r="120" spans="1:5" ht="15.75" customHeight="1">
      <c r="A120" s="5"/>
      <c r="B120" s="5"/>
      <c r="C120" s="5"/>
      <c r="D120" s="5"/>
      <c r="E120" s="5"/>
    </row>
    <row r="121" spans="1:5" ht="15.75" customHeight="1">
      <c r="A121" s="5"/>
      <c r="B121" s="5"/>
      <c r="C121" s="5"/>
      <c r="D121" s="5"/>
      <c r="E121" s="5"/>
    </row>
    <row r="122" spans="1:5" ht="15.75" customHeight="1">
      <c r="A122" s="5"/>
      <c r="B122" s="5"/>
      <c r="C122" s="5"/>
      <c r="D122" s="5"/>
      <c r="E122" s="5"/>
    </row>
    <row r="123" spans="1:5" ht="15.75" customHeight="1">
      <c r="A123" s="5"/>
      <c r="B123" s="5"/>
      <c r="C123" s="5"/>
      <c r="D123" s="5"/>
      <c r="E123" s="5"/>
    </row>
    <row r="124" spans="1:5" ht="15.75" customHeight="1">
      <c r="A124" s="5"/>
      <c r="B124" s="5"/>
      <c r="C124" s="5"/>
      <c r="D124" s="5"/>
      <c r="E124" s="5"/>
    </row>
    <row r="125" spans="1:5" ht="15.75" customHeight="1">
      <c r="A125" s="5"/>
      <c r="B125" s="5"/>
      <c r="C125" s="5"/>
      <c r="D125" s="5"/>
      <c r="E125" s="5"/>
    </row>
    <row r="126" spans="1:5" ht="15.75" customHeight="1">
      <c r="A126" s="5"/>
      <c r="B126" s="5"/>
      <c r="C126" s="5"/>
      <c r="D126" s="5"/>
      <c r="E126" s="5"/>
    </row>
    <row r="127" spans="1:5" ht="15.75" customHeight="1">
      <c r="A127" s="5"/>
      <c r="B127" s="5"/>
      <c r="C127" s="5"/>
      <c r="D127" s="5"/>
      <c r="E127" s="5"/>
    </row>
    <row r="128" spans="1:5" ht="15.75" customHeight="1">
      <c r="A128" s="5"/>
      <c r="B128" s="5"/>
      <c r="C128" s="5"/>
      <c r="D128" s="5"/>
      <c r="E128" s="5"/>
    </row>
    <row r="129" spans="1:5" ht="15.75" customHeight="1">
      <c r="A129" s="5"/>
      <c r="B129" s="5"/>
      <c r="C129" s="5"/>
      <c r="D129" s="5"/>
      <c r="E129" s="5"/>
    </row>
    <row r="130" spans="1:5" ht="15.75" customHeight="1">
      <c r="A130" s="5"/>
      <c r="B130" s="5"/>
      <c r="C130" s="5"/>
      <c r="D130" s="5"/>
      <c r="E130" s="5"/>
    </row>
    <row r="131" spans="1:5" ht="15.75" customHeight="1">
      <c r="A131" s="5"/>
      <c r="B131" s="5"/>
      <c r="C131" s="5"/>
      <c r="D131" s="5"/>
      <c r="E131" s="5"/>
    </row>
    <row r="132" spans="1:5" ht="15.75" customHeight="1">
      <c r="A132" s="5"/>
      <c r="B132" s="5"/>
      <c r="C132" s="5"/>
      <c r="D132" s="5"/>
      <c r="E132" s="5"/>
    </row>
    <row r="133" spans="1:5" ht="15.75" customHeight="1">
      <c r="A133" s="5"/>
      <c r="B133" s="5"/>
      <c r="C133" s="5"/>
      <c r="D133" s="5"/>
      <c r="E133" s="5"/>
    </row>
    <row r="134" spans="1:5" ht="15.75" customHeight="1">
      <c r="A134" s="5"/>
      <c r="B134" s="5"/>
      <c r="C134" s="5"/>
      <c r="D134" s="5"/>
      <c r="E134" s="5"/>
    </row>
    <row r="135" spans="1:5" ht="15.75" customHeight="1">
      <c r="A135" s="5"/>
      <c r="B135" s="5"/>
      <c r="C135" s="5"/>
      <c r="D135" s="5"/>
      <c r="E135" s="5"/>
    </row>
    <row r="136" spans="1:5" ht="15.75" customHeight="1">
      <c r="A136" s="5"/>
      <c r="B136" s="5"/>
      <c r="C136" s="5"/>
      <c r="D136" s="5"/>
      <c r="E136" s="5"/>
    </row>
    <row r="137" spans="1:5" ht="15.75" customHeight="1">
      <c r="A137" s="5"/>
      <c r="B137" s="5"/>
      <c r="C137" s="5"/>
      <c r="D137" s="5"/>
      <c r="E137" s="5"/>
    </row>
    <row r="138" spans="1:5" ht="15.75" customHeight="1">
      <c r="A138" s="5"/>
      <c r="B138" s="5"/>
      <c r="C138" s="5"/>
      <c r="D138" s="5"/>
      <c r="E138" s="5"/>
    </row>
    <row r="139" spans="1:5" ht="15.75" customHeight="1">
      <c r="A139" s="5"/>
      <c r="B139" s="5"/>
      <c r="C139" s="5"/>
      <c r="D139" s="5"/>
      <c r="E139" s="5"/>
    </row>
    <row r="140" spans="1:5" ht="15.75" customHeight="1">
      <c r="A140" s="5"/>
      <c r="B140" s="5"/>
      <c r="C140" s="5"/>
      <c r="D140" s="5"/>
      <c r="E140" s="5"/>
    </row>
    <row r="141" spans="1:5" ht="15.75" customHeight="1">
      <c r="A141" s="5"/>
      <c r="B141" s="5"/>
      <c r="C141" s="5"/>
      <c r="D141" s="5"/>
      <c r="E141" s="5"/>
    </row>
    <row r="142" spans="1:5" ht="15.75" customHeight="1">
      <c r="A142" s="5"/>
      <c r="B142" s="5"/>
      <c r="C142" s="5"/>
      <c r="D142" s="5"/>
      <c r="E142" s="5"/>
    </row>
    <row r="143" spans="1:5" ht="15.75" customHeight="1">
      <c r="A143" s="5"/>
      <c r="B143" s="5"/>
      <c r="C143" s="5"/>
      <c r="D143" s="5"/>
      <c r="E143" s="5"/>
    </row>
    <row r="144" spans="1:5" ht="15.75" customHeight="1">
      <c r="A144" s="5"/>
      <c r="B144" s="5"/>
      <c r="C144" s="5"/>
      <c r="D144" s="5"/>
      <c r="E144" s="5"/>
    </row>
    <row r="145" spans="1:5" ht="15.75" customHeight="1">
      <c r="A145" s="5"/>
      <c r="B145" s="5"/>
      <c r="C145" s="5"/>
      <c r="D145" s="5"/>
      <c r="E145" s="5"/>
    </row>
    <row r="146" spans="1:5" ht="15.75" customHeight="1">
      <c r="A146" s="5"/>
      <c r="B146" s="5"/>
      <c r="C146" s="5"/>
      <c r="D146" s="5"/>
      <c r="E146" s="5"/>
    </row>
    <row r="147" spans="1:5" ht="15.75" customHeight="1">
      <c r="A147" s="5"/>
      <c r="B147" s="5"/>
      <c r="C147" s="5"/>
      <c r="D147" s="5"/>
      <c r="E147" s="5"/>
    </row>
    <row r="148" spans="1:5" ht="15.75" customHeight="1">
      <c r="A148" s="5"/>
      <c r="B148" s="5"/>
      <c r="C148" s="5"/>
      <c r="D148" s="5"/>
      <c r="E148" s="5"/>
    </row>
    <row r="149" spans="1:5" ht="15.75" customHeight="1">
      <c r="A149" s="5"/>
      <c r="B149" s="5"/>
      <c r="C149" s="5"/>
      <c r="D149" s="5"/>
      <c r="E149" s="5"/>
    </row>
    <row r="150" spans="1:5" ht="15.75" customHeight="1">
      <c r="A150" s="5"/>
      <c r="B150" s="5"/>
      <c r="C150" s="5"/>
      <c r="D150" s="5"/>
      <c r="E150" s="5"/>
    </row>
    <row r="151" spans="1:5" ht="15.75" customHeight="1">
      <c r="A151" s="5"/>
      <c r="B151" s="5"/>
      <c r="C151" s="5"/>
      <c r="D151" s="5"/>
      <c r="E151" s="5"/>
    </row>
    <row r="152" spans="1:5" ht="15.75" customHeight="1">
      <c r="A152" s="5"/>
      <c r="B152" s="5"/>
      <c r="C152" s="5"/>
      <c r="D152" s="5"/>
      <c r="E152" s="5"/>
    </row>
    <row r="153" spans="1:5" ht="15.75" customHeight="1">
      <c r="A153" s="5"/>
      <c r="B153" s="5"/>
      <c r="C153" s="5"/>
      <c r="D153" s="5"/>
      <c r="E153" s="5"/>
    </row>
    <row r="154" spans="1:5" ht="15.75" customHeight="1">
      <c r="A154" s="5"/>
      <c r="B154" s="5"/>
      <c r="C154" s="5"/>
      <c r="D154" s="5"/>
      <c r="E154" s="5"/>
    </row>
    <row r="155" spans="1:5" ht="15.75" customHeight="1">
      <c r="A155" s="5"/>
      <c r="B155" s="5"/>
      <c r="C155" s="5"/>
      <c r="D155" s="5"/>
      <c r="E155" s="5"/>
    </row>
    <row r="156" spans="1:5" ht="15.75" customHeight="1">
      <c r="A156" s="5"/>
      <c r="B156" s="5"/>
      <c r="C156" s="5"/>
      <c r="D156" s="5"/>
      <c r="E156" s="5"/>
    </row>
    <row r="157" spans="1:5" ht="15.75" customHeight="1">
      <c r="A157" s="5"/>
      <c r="B157" s="5"/>
      <c r="C157" s="5"/>
      <c r="D157" s="5"/>
      <c r="E157" s="5"/>
    </row>
    <row r="158" spans="1:5" ht="15.75" customHeight="1">
      <c r="A158" s="5"/>
      <c r="B158" s="5"/>
      <c r="C158" s="5"/>
      <c r="D158" s="5"/>
      <c r="E158" s="5"/>
    </row>
    <row r="159" spans="1:5" ht="15.75" customHeight="1">
      <c r="A159" s="5"/>
      <c r="B159" s="5"/>
      <c r="C159" s="5"/>
      <c r="D159" s="5"/>
      <c r="E159" s="5"/>
    </row>
    <row r="160" spans="1:5" ht="15.75" customHeight="1">
      <c r="A160" s="5"/>
      <c r="B160" s="5"/>
      <c r="C160" s="5"/>
      <c r="D160" s="5"/>
      <c r="E160" s="5"/>
    </row>
    <row r="161" spans="1:5" ht="15.75" customHeight="1">
      <c r="A161" s="5"/>
      <c r="B161" s="5"/>
      <c r="C161" s="5"/>
      <c r="D161" s="5"/>
      <c r="E161" s="5"/>
    </row>
    <row r="162" spans="1:5" ht="15.75" customHeight="1">
      <c r="A162" s="5"/>
      <c r="B162" s="5"/>
      <c r="C162" s="5"/>
      <c r="D162" s="5"/>
      <c r="E162" s="5"/>
    </row>
    <row r="163" spans="1:5" ht="15.75" customHeight="1">
      <c r="A163" s="5"/>
      <c r="B163" s="5"/>
      <c r="C163" s="5"/>
      <c r="D163" s="5"/>
      <c r="E163" s="5"/>
    </row>
    <row r="164" spans="1:5" ht="15.75" customHeight="1">
      <c r="A164" s="5"/>
      <c r="B164" s="5"/>
      <c r="C164" s="5"/>
      <c r="D164" s="5"/>
      <c r="E164" s="5"/>
    </row>
    <row r="165" spans="1:5" ht="15.75" customHeight="1">
      <c r="A165" s="5"/>
      <c r="B165" s="5"/>
      <c r="C165" s="5"/>
      <c r="D165" s="5"/>
      <c r="E165" s="5"/>
    </row>
    <row r="166" spans="1:5" ht="15.75" customHeight="1">
      <c r="A166" s="5"/>
      <c r="B166" s="5"/>
      <c r="C166" s="5"/>
      <c r="D166" s="5"/>
      <c r="E166" s="5"/>
    </row>
    <row r="167" spans="1:5" ht="15.75" customHeight="1">
      <c r="A167" s="5"/>
      <c r="B167" s="5"/>
      <c r="C167" s="5"/>
      <c r="D167" s="5"/>
      <c r="E167" s="5"/>
    </row>
    <row r="168" spans="1:5" ht="15.75" customHeight="1">
      <c r="A168" s="5"/>
      <c r="B168" s="5"/>
      <c r="C168" s="5"/>
      <c r="D168" s="5"/>
      <c r="E168" s="5"/>
    </row>
    <row r="169" spans="1:5" ht="15.75" customHeight="1">
      <c r="A169" s="5"/>
      <c r="B169" s="5"/>
      <c r="C169" s="5"/>
      <c r="D169" s="5"/>
      <c r="E169" s="5"/>
    </row>
    <row r="170" spans="1:5" ht="15.75" customHeight="1">
      <c r="A170" s="5"/>
      <c r="B170" s="5"/>
      <c r="C170" s="5"/>
      <c r="D170" s="5"/>
      <c r="E170" s="5"/>
    </row>
    <row r="171" spans="1:5" ht="15.75" customHeight="1">
      <c r="A171" s="5"/>
      <c r="B171" s="5"/>
      <c r="C171" s="5"/>
      <c r="D171" s="5"/>
      <c r="E171" s="5"/>
    </row>
    <row r="172" spans="1:5" ht="15.75" customHeight="1">
      <c r="A172" s="5"/>
      <c r="B172" s="5"/>
      <c r="C172" s="5"/>
      <c r="D172" s="5"/>
      <c r="E172" s="5"/>
    </row>
    <row r="173" spans="1:5" ht="15.75" customHeight="1">
      <c r="A173" s="5"/>
      <c r="B173" s="5"/>
      <c r="C173" s="5"/>
      <c r="D173" s="5"/>
      <c r="E173" s="5"/>
    </row>
    <row r="174" spans="1:5" ht="15.75" customHeight="1">
      <c r="A174" s="5"/>
      <c r="B174" s="5"/>
      <c r="C174" s="5"/>
      <c r="D174" s="5"/>
      <c r="E174" s="5"/>
    </row>
    <row r="175" spans="1:5" ht="15.75" customHeight="1">
      <c r="A175" s="5"/>
      <c r="B175" s="5"/>
      <c r="C175" s="5"/>
      <c r="D175" s="5"/>
      <c r="E175" s="5"/>
    </row>
    <row r="176" spans="1:5" ht="15.75" customHeight="1">
      <c r="A176" s="5"/>
      <c r="B176" s="5"/>
      <c r="C176" s="5"/>
      <c r="D176" s="5"/>
      <c r="E176" s="5"/>
    </row>
    <row r="177" spans="1:5" ht="15.75" customHeight="1">
      <c r="A177" s="5"/>
      <c r="B177" s="5"/>
      <c r="C177" s="5"/>
      <c r="D177" s="5"/>
      <c r="E177" s="5"/>
    </row>
    <row r="178" spans="1:5" ht="15.75" customHeight="1">
      <c r="A178" s="5"/>
      <c r="B178" s="5"/>
      <c r="C178" s="5"/>
      <c r="D178" s="5"/>
      <c r="E178" s="5"/>
    </row>
    <row r="179" spans="1:5" ht="15.75" customHeight="1">
      <c r="A179" s="5"/>
      <c r="B179" s="5"/>
      <c r="C179" s="5"/>
      <c r="D179" s="5"/>
      <c r="E179" s="5"/>
    </row>
    <row r="180" spans="1:5" ht="15.75" customHeight="1">
      <c r="A180" s="5"/>
      <c r="B180" s="5"/>
      <c r="C180" s="5"/>
      <c r="D180" s="5"/>
      <c r="E180" s="5"/>
    </row>
    <row r="181" spans="1:5" ht="15.75" customHeight="1">
      <c r="A181" s="5"/>
      <c r="B181" s="5"/>
      <c r="C181" s="5"/>
      <c r="D181" s="5"/>
      <c r="E181" s="5"/>
    </row>
    <row r="182" spans="1:5" ht="15.75" customHeight="1">
      <c r="A182" s="5"/>
      <c r="B182" s="5"/>
      <c r="C182" s="5"/>
      <c r="D182" s="5"/>
      <c r="E182" s="5"/>
    </row>
    <row r="183" spans="1:5" ht="15.75" customHeight="1">
      <c r="A183" s="5"/>
      <c r="B183" s="5"/>
      <c r="C183" s="5"/>
      <c r="D183" s="5"/>
      <c r="E183" s="5"/>
    </row>
    <row r="184" spans="1:5" ht="15.75" customHeight="1">
      <c r="A184" s="5"/>
      <c r="B184" s="5"/>
      <c r="C184" s="5"/>
      <c r="D184" s="5"/>
      <c r="E184" s="5"/>
    </row>
    <row r="185" spans="1:5" ht="15.75" customHeight="1">
      <c r="A185" s="5"/>
      <c r="B185" s="5"/>
      <c r="C185" s="5"/>
      <c r="D185" s="5"/>
      <c r="E185" s="5"/>
    </row>
    <row r="186" spans="1:5" ht="15.75" customHeight="1">
      <c r="A186" s="5"/>
      <c r="B186" s="5"/>
      <c r="C186" s="5"/>
      <c r="D186" s="5"/>
      <c r="E186" s="5"/>
    </row>
    <row r="187" spans="1:5" ht="15.75" customHeight="1">
      <c r="A187" s="5"/>
      <c r="B187" s="5"/>
      <c r="C187" s="5"/>
      <c r="D187" s="5"/>
      <c r="E187" s="5"/>
    </row>
    <row r="188" spans="1:5" ht="15.75" customHeight="1">
      <c r="A188" s="5"/>
      <c r="B188" s="5"/>
      <c r="C188" s="5"/>
      <c r="D188" s="5"/>
      <c r="E188" s="5"/>
    </row>
    <row r="189" spans="1:5" ht="15.75" customHeight="1">
      <c r="A189" s="5"/>
      <c r="B189" s="5"/>
      <c r="C189" s="5"/>
      <c r="D189" s="5"/>
      <c r="E189" s="5"/>
    </row>
    <row r="190" spans="1:5" ht="15.75" customHeight="1">
      <c r="A190" s="5"/>
      <c r="B190" s="5"/>
      <c r="C190" s="5"/>
      <c r="D190" s="5"/>
      <c r="E190" s="5"/>
    </row>
    <row r="191" spans="1:5" ht="15.75" customHeight="1">
      <c r="A191" s="5"/>
      <c r="B191" s="5"/>
      <c r="C191" s="5"/>
      <c r="D191" s="5"/>
      <c r="E191" s="5"/>
    </row>
    <row r="192" spans="1:5" ht="15.75" customHeight="1">
      <c r="A192" s="5"/>
      <c r="B192" s="5"/>
      <c r="C192" s="5"/>
      <c r="D192" s="5"/>
      <c r="E192" s="5"/>
    </row>
    <row r="193" spans="1:5" ht="15.75" customHeight="1">
      <c r="A193" s="5"/>
      <c r="B193" s="5"/>
      <c r="C193" s="5"/>
      <c r="D193" s="5"/>
      <c r="E193" s="5"/>
    </row>
    <row r="194" spans="1:5" ht="15.75" customHeight="1">
      <c r="A194" s="5"/>
      <c r="B194" s="5"/>
      <c r="C194" s="5"/>
      <c r="D194" s="5"/>
      <c r="E194" s="5"/>
    </row>
    <row r="195" spans="1:5" ht="15.75" customHeight="1">
      <c r="A195" s="5"/>
      <c r="B195" s="5"/>
      <c r="C195" s="5"/>
      <c r="D195" s="5"/>
      <c r="E195" s="5"/>
    </row>
    <row r="196" spans="1:5" ht="15.75" customHeight="1">
      <c r="A196" s="5"/>
      <c r="B196" s="5"/>
      <c r="C196" s="5"/>
      <c r="D196" s="5"/>
      <c r="E196" s="5"/>
    </row>
    <row r="197" spans="1:5" ht="15.75" customHeight="1">
      <c r="A197" s="5"/>
      <c r="B197" s="5"/>
      <c r="C197" s="5"/>
      <c r="D197" s="5"/>
      <c r="E197" s="5"/>
    </row>
    <row r="198" spans="1:5" ht="15.75" customHeight="1">
      <c r="A198" s="5"/>
      <c r="B198" s="5"/>
      <c r="C198" s="5"/>
      <c r="D198" s="5"/>
      <c r="E198" s="5"/>
    </row>
    <row r="199" spans="1:5" ht="15.75" customHeight="1">
      <c r="A199" s="5"/>
      <c r="B199" s="5"/>
      <c r="C199" s="5"/>
      <c r="D199" s="5"/>
      <c r="E199" s="5"/>
    </row>
    <row r="200" spans="1:5" ht="15.75" customHeight="1">
      <c r="A200" s="5"/>
      <c r="B200" s="5"/>
      <c r="C200" s="5"/>
      <c r="D200" s="5"/>
      <c r="E200" s="5"/>
    </row>
    <row r="201" spans="1:5" ht="15.75" customHeight="1">
      <c r="A201" s="5"/>
      <c r="B201" s="5"/>
      <c r="C201" s="5"/>
      <c r="D201" s="5"/>
      <c r="E201" s="5"/>
    </row>
    <row r="202" spans="1:5" ht="15.75" customHeight="1">
      <c r="A202" s="5"/>
      <c r="B202" s="5"/>
      <c r="C202" s="5"/>
      <c r="D202" s="5"/>
      <c r="E202" s="5"/>
    </row>
    <row r="203" spans="1:5" ht="15.75" customHeight="1">
      <c r="A203" s="5"/>
      <c r="B203" s="5"/>
      <c r="C203" s="5"/>
      <c r="D203" s="5"/>
      <c r="E203" s="5"/>
    </row>
    <row r="204" spans="1:5" ht="15.75" customHeight="1">
      <c r="A204" s="5"/>
      <c r="B204" s="5"/>
      <c r="C204" s="5"/>
      <c r="D204" s="5"/>
      <c r="E204" s="5"/>
    </row>
    <row r="205" spans="1:5" ht="15.75" customHeight="1">
      <c r="A205" s="5"/>
      <c r="B205" s="5"/>
      <c r="C205" s="5"/>
      <c r="D205" s="5"/>
      <c r="E205" s="5"/>
    </row>
    <row r="206" spans="1:5" ht="15.75" customHeight="1">
      <c r="A206" s="5"/>
      <c r="B206" s="5"/>
      <c r="C206" s="5"/>
      <c r="D206" s="5"/>
      <c r="E206" s="5"/>
    </row>
    <row r="207" spans="1:5" ht="15.75" customHeight="1">
      <c r="A207" s="5"/>
      <c r="B207" s="5"/>
      <c r="C207" s="5"/>
      <c r="D207" s="5"/>
      <c r="E207" s="5"/>
    </row>
    <row r="208" spans="1:5" ht="15.75" customHeight="1">
      <c r="A208" s="5"/>
      <c r="B208" s="5"/>
      <c r="C208" s="5"/>
      <c r="D208" s="5"/>
      <c r="E208" s="5"/>
    </row>
    <row r="209" spans="1:5" ht="15.75" customHeight="1">
      <c r="A209" s="5"/>
      <c r="B209" s="5"/>
      <c r="C209" s="5"/>
      <c r="D209" s="5"/>
      <c r="E209" s="5"/>
    </row>
    <row r="210" spans="1:5" ht="15.75" customHeight="1">
      <c r="A210" s="5"/>
      <c r="B210" s="5"/>
      <c r="C210" s="5"/>
      <c r="D210" s="5"/>
      <c r="E210" s="5"/>
    </row>
    <row r="211" spans="1:5" ht="15.75" customHeight="1">
      <c r="A211" s="5"/>
      <c r="B211" s="5"/>
      <c r="C211" s="5"/>
      <c r="D211" s="5"/>
      <c r="E211" s="5"/>
    </row>
    <row r="212" spans="1:5" ht="15.75" customHeight="1">
      <c r="A212" s="5"/>
      <c r="B212" s="5"/>
      <c r="C212" s="5"/>
      <c r="D212" s="5"/>
      <c r="E212" s="5"/>
    </row>
    <row r="213" spans="1:5" ht="15.75" customHeight="1">
      <c r="A213" s="5"/>
      <c r="B213" s="5"/>
      <c r="C213" s="5"/>
      <c r="D213" s="5"/>
      <c r="E213" s="5"/>
    </row>
    <row r="214" spans="1:5" ht="15.75" customHeight="1">
      <c r="A214" s="5"/>
      <c r="B214" s="5"/>
      <c r="C214" s="5"/>
      <c r="D214" s="5"/>
      <c r="E214" s="5"/>
    </row>
    <row r="215" spans="1:5" ht="15.75" customHeight="1">
      <c r="A215" s="5"/>
      <c r="B215" s="5"/>
      <c r="C215" s="5"/>
      <c r="D215" s="5"/>
      <c r="E215" s="5"/>
    </row>
    <row r="216" spans="1:5" ht="15.75" customHeight="1">
      <c r="A216" s="5"/>
      <c r="B216" s="5"/>
      <c r="C216" s="5"/>
      <c r="D216" s="5"/>
      <c r="E216" s="5"/>
    </row>
    <row r="217" spans="1:5" ht="15.75" customHeight="1">
      <c r="A217" s="5"/>
      <c r="B217" s="5"/>
      <c r="C217" s="5"/>
      <c r="D217" s="5"/>
      <c r="E217" s="5"/>
    </row>
    <row r="218" spans="1:5" ht="15.75" customHeight="1">
      <c r="A218" s="5"/>
      <c r="B218" s="5"/>
      <c r="C218" s="5"/>
      <c r="D218" s="5"/>
      <c r="E218" s="5"/>
    </row>
    <row r="219" spans="1:5" ht="15.75" customHeight="1">
      <c r="A219" s="5"/>
      <c r="B219" s="5"/>
      <c r="C219" s="5"/>
      <c r="D219" s="5"/>
      <c r="E219" s="5"/>
    </row>
    <row r="220" spans="1:5" ht="15.75" customHeight="1">
      <c r="A220" s="5"/>
      <c r="B220" s="5"/>
      <c r="C220" s="5"/>
      <c r="D220" s="5"/>
      <c r="E220" s="5"/>
    </row>
    <row r="221" spans="1:5" ht="15.75" customHeight="1">
      <c r="A221" s="5"/>
      <c r="B221" s="5"/>
      <c r="C221" s="5"/>
      <c r="D221" s="5"/>
      <c r="E221" s="5"/>
    </row>
    <row r="222" spans="1:5" ht="15.75" customHeight="1">
      <c r="A222" s="5"/>
      <c r="B222" s="5"/>
      <c r="C222" s="5"/>
      <c r="D222" s="5"/>
      <c r="E222" s="5"/>
    </row>
    <row r="223" spans="1:5" ht="15.75" customHeight="1">
      <c r="A223" s="5"/>
      <c r="B223" s="5"/>
      <c r="C223" s="5"/>
      <c r="D223" s="5"/>
      <c r="E223" s="5"/>
    </row>
    <row r="224" spans="1:5" ht="15.75" customHeight="1">
      <c r="A224" s="5"/>
      <c r="B224" s="5"/>
      <c r="C224" s="5"/>
      <c r="D224" s="5"/>
      <c r="E224" s="5"/>
    </row>
    <row r="225" spans="1:5" ht="15.75" customHeight="1">
      <c r="A225" s="5"/>
      <c r="B225" s="5"/>
      <c r="C225" s="5"/>
      <c r="D225" s="5"/>
      <c r="E225" s="5"/>
    </row>
    <row r="226" spans="1:5" ht="15.75" customHeight="1">
      <c r="A226" s="5"/>
      <c r="B226" s="5"/>
      <c r="C226" s="5"/>
      <c r="D226" s="5"/>
      <c r="E226" s="5"/>
    </row>
    <row r="227" spans="1:5" ht="15.75" customHeight="1">
      <c r="A227" s="5"/>
      <c r="B227" s="5"/>
      <c r="C227" s="5"/>
      <c r="D227" s="5"/>
      <c r="E227" s="5"/>
    </row>
    <row r="228" spans="1:5" ht="15.75" customHeight="1">
      <c r="A228" s="5"/>
      <c r="B228" s="5"/>
      <c r="C228" s="5"/>
      <c r="D228" s="5"/>
      <c r="E228" s="5"/>
    </row>
    <row r="229" spans="1:5" ht="15.75" customHeight="1">
      <c r="A229" s="5"/>
      <c r="B229" s="5"/>
      <c r="C229" s="5"/>
      <c r="D229" s="5"/>
      <c r="E229" s="5"/>
    </row>
    <row r="230" spans="1:5" ht="15.75" customHeight="1">
      <c r="A230" s="5"/>
      <c r="B230" s="5"/>
      <c r="C230" s="5"/>
      <c r="D230" s="5"/>
      <c r="E230" s="5"/>
    </row>
    <row r="231" spans="1:5" ht="15.75" customHeight="1">
      <c r="A231" s="5"/>
      <c r="B231" s="5"/>
      <c r="C231" s="5"/>
      <c r="D231" s="5"/>
      <c r="E231" s="5"/>
    </row>
    <row r="232" spans="1:5" ht="15.75" customHeight="1">
      <c r="A232" s="5"/>
      <c r="B232" s="5"/>
      <c r="C232" s="5"/>
      <c r="D232" s="5"/>
      <c r="E232" s="5"/>
    </row>
    <row r="233" spans="1:5" ht="15.75" customHeight="1">
      <c r="A233" s="5"/>
      <c r="B233" s="5"/>
      <c r="C233" s="5"/>
      <c r="D233" s="5"/>
      <c r="E233" s="5"/>
    </row>
    <row r="234" spans="1:5" ht="15.75" customHeight="1">
      <c r="A234" s="5"/>
      <c r="B234" s="5"/>
      <c r="C234" s="5"/>
      <c r="D234" s="5"/>
      <c r="E234" s="5"/>
    </row>
    <row r="235" spans="1:5" ht="15.75" customHeight="1">
      <c r="A235" s="5"/>
      <c r="B235" s="5"/>
      <c r="C235" s="5"/>
      <c r="D235" s="5"/>
      <c r="E235" s="5"/>
    </row>
    <row r="236" spans="1:5" ht="15.75" customHeight="1">
      <c r="A236" s="5"/>
      <c r="B236" s="5"/>
      <c r="C236" s="5"/>
      <c r="D236" s="5"/>
      <c r="E236" s="5"/>
    </row>
    <row r="237" spans="1:5" ht="15.75" customHeight="1">
      <c r="A237" s="5"/>
      <c r="B237" s="5"/>
      <c r="C237" s="5"/>
      <c r="D237" s="5"/>
      <c r="E237" s="5"/>
    </row>
    <row r="238" spans="1:5" ht="15.75" customHeight="1">
      <c r="A238" s="5"/>
      <c r="B238" s="5"/>
      <c r="C238" s="5"/>
      <c r="D238" s="5"/>
      <c r="E238" s="5"/>
    </row>
    <row r="239" spans="1:5" ht="15.75" customHeight="1">
      <c r="A239" s="5"/>
      <c r="B239" s="5"/>
      <c r="C239" s="5"/>
      <c r="D239" s="5"/>
      <c r="E239" s="5"/>
    </row>
    <row r="240" spans="1:5" ht="15.75" customHeight="1">
      <c r="A240" s="5"/>
      <c r="B240" s="5"/>
      <c r="C240" s="5"/>
      <c r="D240" s="5"/>
      <c r="E240" s="5"/>
    </row>
    <row r="241" spans="1:5" ht="15.75" customHeight="1">
      <c r="A241" s="5"/>
      <c r="B241" s="5"/>
      <c r="C241" s="5"/>
      <c r="D241" s="5"/>
      <c r="E241" s="5"/>
    </row>
    <row r="242" spans="1:5" ht="15.75" customHeight="1">
      <c r="A242" s="5"/>
      <c r="B242" s="5"/>
      <c r="C242" s="5"/>
      <c r="D242" s="5"/>
      <c r="E242" s="5"/>
    </row>
    <row r="243" spans="1:5" ht="15.75" customHeight="1">
      <c r="A243" s="5"/>
      <c r="B243" s="5"/>
      <c r="C243" s="5"/>
      <c r="D243" s="5"/>
      <c r="E243" s="5"/>
    </row>
    <row r="244" spans="1:5" ht="15.75" customHeight="1">
      <c r="A244" s="5"/>
      <c r="B244" s="5"/>
      <c r="C244" s="5"/>
      <c r="D244" s="5"/>
      <c r="E244" s="5"/>
    </row>
    <row r="245" spans="1:5" ht="15.75" customHeight="1">
      <c r="A245" s="5"/>
      <c r="B245" s="5"/>
      <c r="C245" s="5"/>
      <c r="D245" s="5"/>
      <c r="E245" s="5"/>
    </row>
    <row r="246" spans="1:5" ht="15.75" customHeight="1">
      <c r="A246" s="5"/>
      <c r="B246" s="5"/>
      <c r="C246" s="5"/>
      <c r="D246" s="5"/>
      <c r="E246" s="5"/>
    </row>
    <row r="247" spans="1:5" ht="15.75" customHeight="1">
      <c r="A247" s="5"/>
      <c r="B247" s="5"/>
      <c r="C247" s="5"/>
      <c r="D247" s="5"/>
      <c r="E247" s="5"/>
    </row>
    <row r="248" spans="1:5" ht="15.75" customHeight="1">
      <c r="A248" s="5"/>
      <c r="B248" s="5"/>
      <c r="C248" s="5"/>
      <c r="D248" s="5"/>
      <c r="E248" s="5"/>
    </row>
    <row r="249" spans="1:5" ht="15.75" customHeight="1">
      <c r="A249" s="5"/>
      <c r="B249" s="5"/>
      <c r="C249" s="5"/>
      <c r="D249" s="5"/>
      <c r="E249" s="5"/>
    </row>
    <row r="250" spans="1:5" ht="15.75" customHeight="1">
      <c r="A250" s="5"/>
      <c r="B250" s="5"/>
      <c r="C250" s="5"/>
      <c r="D250" s="5"/>
      <c r="E250" s="5"/>
    </row>
    <row r="251" spans="1:5" ht="15.75" customHeight="1">
      <c r="A251" s="5"/>
      <c r="B251" s="5"/>
      <c r="C251" s="5"/>
      <c r="D251" s="5"/>
      <c r="E251" s="5"/>
    </row>
    <row r="252" spans="1:5" ht="15.75" customHeight="1">
      <c r="A252" s="5"/>
      <c r="B252" s="5"/>
      <c r="C252" s="5"/>
      <c r="D252" s="5"/>
      <c r="E252" s="5"/>
    </row>
    <row r="253" spans="1:5" ht="15.75" customHeight="1">
      <c r="A253" s="5"/>
      <c r="B253" s="5"/>
      <c r="C253" s="5"/>
      <c r="D253" s="5"/>
      <c r="E253" s="5"/>
    </row>
    <row r="254" spans="1:5" ht="15.75" customHeight="1">
      <c r="A254" s="5"/>
      <c r="B254" s="5"/>
      <c r="C254" s="5"/>
      <c r="D254" s="5"/>
      <c r="E254" s="5"/>
    </row>
    <row r="255" spans="1:5" ht="15.75" customHeight="1">
      <c r="A255" s="5"/>
      <c r="B255" s="5"/>
      <c r="C255" s="5"/>
      <c r="D255" s="5"/>
      <c r="E255" s="5"/>
    </row>
    <row r="256" spans="1:5" ht="15.75" customHeight="1">
      <c r="A256" s="5"/>
      <c r="B256" s="5"/>
      <c r="C256" s="5"/>
      <c r="D256" s="5"/>
      <c r="E256" s="5"/>
    </row>
    <row r="257" spans="1:5" ht="15.75" customHeight="1">
      <c r="A257" s="5"/>
      <c r="B257" s="5"/>
      <c r="C257" s="5"/>
      <c r="D257" s="5"/>
      <c r="E257" s="5"/>
    </row>
    <row r="258" spans="1:5" ht="15.75" customHeight="1">
      <c r="A258" s="5"/>
      <c r="B258" s="5"/>
      <c r="C258" s="5"/>
      <c r="D258" s="5"/>
      <c r="E258" s="5"/>
    </row>
    <row r="259" spans="1:5" ht="15.75" customHeight="1">
      <c r="A259" s="5"/>
      <c r="B259" s="5"/>
      <c r="C259" s="5"/>
      <c r="D259" s="5"/>
      <c r="E259" s="5"/>
    </row>
    <row r="260" spans="1:5" ht="15.75" customHeight="1">
      <c r="A260" s="5"/>
      <c r="B260" s="5"/>
      <c r="C260" s="5"/>
      <c r="D260" s="5"/>
      <c r="E260" s="5"/>
    </row>
    <row r="261" spans="1:5" ht="15.75" customHeight="1">
      <c r="A261" s="5"/>
      <c r="B261" s="5"/>
      <c r="C261" s="5"/>
      <c r="D261" s="5"/>
      <c r="E261" s="5"/>
    </row>
    <row r="262" spans="1:5" ht="15.75" customHeight="1">
      <c r="A262" s="5"/>
      <c r="B262" s="5"/>
      <c r="C262" s="5"/>
      <c r="D262" s="5"/>
      <c r="E262" s="5"/>
    </row>
    <row r="263" spans="1:5" ht="15.75" customHeight="1">
      <c r="A263" s="5"/>
      <c r="B263" s="5"/>
      <c r="C263" s="5"/>
      <c r="D263" s="5"/>
      <c r="E263" s="5"/>
    </row>
    <row r="264" spans="1:5" ht="15.75" customHeight="1">
      <c r="A264" s="5"/>
      <c r="B264" s="5"/>
      <c r="C264" s="5"/>
      <c r="D264" s="5"/>
      <c r="E264" s="5"/>
    </row>
    <row r="265" spans="1:5" ht="15.75" customHeight="1">
      <c r="A265" s="5"/>
      <c r="B265" s="5"/>
      <c r="C265" s="5"/>
      <c r="D265" s="5"/>
      <c r="E265" s="5"/>
    </row>
    <row r="266" spans="1:5" ht="15.75" customHeight="1">
      <c r="A266" s="5"/>
      <c r="B266" s="5"/>
      <c r="C266" s="5"/>
      <c r="D266" s="5"/>
      <c r="E266" s="5"/>
    </row>
    <row r="267" spans="1:5" ht="15.75" customHeight="1">
      <c r="A267" s="5"/>
      <c r="B267" s="5"/>
      <c r="C267" s="5"/>
      <c r="D267" s="5"/>
      <c r="E267" s="5"/>
    </row>
    <row r="268" spans="1:5" ht="15.75" customHeight="1">
      <c r="A268" s="5"/>
      <c r="B268" s="5"/>
      <c r="C268" s="5"/>
      <c r="D268" s="5"/>
      <c r="E268" s="5"/>
    </row>
    <row r="269" spans="1:5" ht="15.75" customHeight="1">
      <c r="A269" s="5"/>
      <c r="B269" s="5"/>
      <c r="C269" s="5"/>
      <c r="D269" s="5"/>
      <c r="E269" s="5"/>
    </row>
    <row r="270" spans="1:5" ht="15.75" customHeight="1">
      <c r="A270" s="5"/>
      <c r="B270" s="5"/>
      <c r="C270" s="5"/>
      <c r="D270" s="5"/>
      <c r="E270" s="5"/>
    </row>
    <row r="271" spans="1:5" ht="15.75" customHeight="1">
      <c r="A271" s="5"/>
      <c r="B271" s="5"/>
      <c r="C271" s="5"/>
      <c r="D271" s="5"/>
      <c r="E271" s="5"/>
    </row>
    <row r="272" spans="1:5" ht="15.75" customHeight="1">
      <c r="A272" s="5"/>
      <c r="B272" s="5"/>
      <c r="C272" s="5"/>
      <c r="D272" s="5"/>
      <c r="E272" s="5"/>
    </row>
    <row r="273" spans="1:5" ht="15.75" customHeight="1">
      <c r="A273" s="5"/>
      <c r="B273" s="5"/>
      <c r="C273" s="5"/>
      <c r="D273" s="5"/>
      <c r="E273" s="5"/>
    </row>
    <row r="274" spans="1:5" ht="15.75" customHeight="1">
      <c r="A274" s="5"/>
      <c r="B274" s="5"/>
      <c r="C274" s="5"/>
      <c r="D274" s="5"/>
      <c r="E274" s="5"/>
    </row>
    <row r="275" spans="1:5" ht="15.75" customHeight="1">
      <c r="A275" s="5"/>
      <c r="B275" s="5"/>
      <c r="C275" s="5"/>
      <c r="D275" s="5"/>
      <c r="E275" s="5"/>
    </row>
    <row r="276" spans="1:5" ht="15.75" customHeight="1">
      <c r="A276" s="5"/>
      <c r="B276" s="5"/>
      <c r="C276" s="5"/>
      <c r="D276" s="5"/>
      <c r="E276" s="5"/>
    </row>
    <row r="277" spans="1:5" ht="15.75" customHeight="1">
      <c r="A277" s="5"/>
      <c r="B277" s="5"/>
      <c r="C277" s="5"/>
      <c r="D277" s="5"/>
      <c r="E277" s="5"/>
    </row>
    <row r="278" spans="1:5" ht="15.75" customHeight="1">
      <c r="A278" s="5"/>
      <c r="B278" s="5"/>
      <c r="C278" s="5"/>
      <c r="D278" s="5"/>
      <c r="E278" s="5"/>
    </row>
    <row r="279" spans="1:5" ht="15.75" customHeight="1">
      <c r="A279" s="5"/>
      <c r="B279" s="5"/>
      <c r="C279" s="5"/>
      <c r="D279" s="5"/>
      <c r="E279" s="5"/>
    </row>
    <row r="280" spans="1:5" ht="15.75" customHeight="1">
      <c r="A280" s="5"/>
      <c r="B280" s="5"/>
      <c r="C280" s="5"/>
      <c r="D280" s="5"/>
      <c r="E280" s="5"/>
    </row>
    <row r="281" spans="1:5" ht="15.75" customHeight="1">
      <c r="A281" s="5"/>
      <c r="B281" s="5"/>
      <c r="C281" s="5"/>
      <c r="D281" s="5"/>
      <c r="E281" s="5"/>
    </row>
    <row r="282" spans="1:5" ht="15.75" customHeight="1">
      <c r="A282" s="5"/>
      <c r="B282" s="5"/>
      <c r="C282" s="5"/>
      <c r="D282" s="5"/>
      <c r="E282" s="5"/>
    </row>
    <row r="283" spans="1:5" ht="15.75" customHeight="1">
      <c r="A283" s="5"/>
      <c r="B283" s="5"/>
      <c r="C283" s="5"/>
      <c r="D283" s="5"/>
      <c r="E283" s="5"/>
    </row>
    <row r="284" spans="1:5" ht="15.75" customHeight="1">
      <c r="A284" s="5"/>
      <c r="B284" s="5"/>
      <c r="C284" s="5"/>
      <c r="D284" s="5"/>
      <c r="E284" s="5"/>
    </row>
    <row r="285" spans="1:5" ht="15.75" customHeight="1">
      <c r="A285" s="5"/>
      <c r="B285" s="5"/>
      <c r="C285" s="5"/>
      <c r="D285" s="5"/>
      <c r="E285" s="5"/>
    </row>
    <row r="286" spans="1:5" ht="15.75" customHeight="1">
      <c r="A286" s="5"/>
      <c r="B286" s="5"/>
      <c r="C286" s="5"/>
      <c r="D286" s="5"/>
      <c r="E286" s="5"/>
    </row>
    <row r="287" spans="1:5" ht="15.75" customHeight="1">
      <c r="A287" s="5"/>
      <c r="B287" s="5"/>
      <c r="C287" s="5"/>
      <c r="D287" s="5"/>
      <c r="E287" s="5"/>
    </row>
    <row r="288" spans="1:5" ht="15.75" customHeight="1">
      <c r="A288" s="5"/>
      <c r="B288" s="5"/>
      <c r="C288" s="5"/>
      <c r="D288" s="5"/>
      <c r="E288" s="5"/>
    </row>
    <row r="289" spans="1:5" ht="15.75" customHeight="1">
      <c r="A289" s="5"/>
      <c r="B289" s="5"/>
      <c r="C289" s="5"/>
      <c r="D289" s="5"/>
      <c r="E289" s="5"/>
    </row>
    <row r="290" spans="1:5" ht="15.75" customHeight="1">
      <c r="A290" s="5"/>
      <c r="B290" s="5"/>
      <c r="C290" s="5"/>
      <c r="D290" s="5"/>
      <c r="E290" s="5"/>
    </row>
    <row r="291" spans="1:5" ht="15.75" customHeight="1">
      <c r="A291" s="5"/>
      <c r="B291" s="5"/>
      <c r="C291" s="5"/>
      <c r="D291" s="5"/>
      <c r="E291" s="5"/>
    </row>
    <row r="292" spans="1:5" ht="15.75" customHeight="1">
      <c r="A292" s="5"/>
      <c r="B292" s="5"/>
      <c r="C292" s="5"/>
      <c r="D292" s="5"/>
      <c r="E292" s="5"/>
    </row>
    <row r="293" spans="1:5" ht="15.75" customHeight="1">
      <c r="A293" s="5"/>
      <c r="B293" s="5"/>
      <c r="C293" s="5"/>
      <c r="D293" s="5"/>
      <c r="E293" s="5"/>
    </row>
    <row r="294" spans="1:5" ht="15.75" customHeight="1">
      <c r="A294" s="5"/>
      <c r="B294" s="5"/>
      <c r="C294" s="5"/>
      <c r="D294" s="5"/>
      <c r="E294" s="5"/>
    </row>
    <row r="295" spans="1:5" ht="15.75" customHeight="1">
      <c r="A295" s="5"/>
      <c r="B295" s="5"/>
      <c r="C295" s="5"/>
      <c r="D295" s="5"/>
      <c r="E295" s="5"/>
    </row>
    <row r="296" spans="1:5" ht="15.75" customHeight="1">
      <c r="A296" s="5"/>
      <c r="B296" s="5"/>
      <c r="C296" s="5"/>
      <c r="D296" s="5"/>
      <c r="E296" s="5"/>
    </row>
    <row r="297" spans="1:5" ht="15.75" customHeight="1">
      <c r="A297" s="5"/>
      <c r="B297" s="5"/>
      <c r="C297" s="5"/>
      <c r="D297" s="5"/>
      <c r="E297" s="5"/>
    </row>
    <row r="298" spans="1:5" ht="15.75" customHeight="1">
      <c r="A298" s="5"/>
      <c r="B298" s="5"/>
      <c r="C298" s="5"/>
      <c r="D298" s="5"/>
      <c r="E298" s="5"/>
    </row>
    <row r="299" spans="1:5" ht="15.75" customHeight="1">
      <c r="A299" s="5"/>
      <c r="B299" s="5"/>
      <c r="C299" s="5"/>
      <c r="D299" s="5"/>
      <c r="E299" s="5"/>
    </row>
    <row r="300" spans="1:5" ht="15.75" customHeight="1">
      <c r="A300" s="5"/>
      <c r="B300" s="5"/>
      <c r="C300" s="5"/>
      <c r="D300" s="5"/>
      <c r="E300" s="5"/>
    </row>
    <row r="301" spans="1:5" ht="15.75" customHeight="1">
      <c r="A301" s="5"/>
      <c r="B301" s="5"/>
      <c r="C301" s="5"/>
      <c r="D301" s="5"/>
      <c r="E301" s="5"/>
    </row>
    <row r="302" spans="1:5" ht="15.75" customHeight="1">
      <c r="A302" s="5"/>
      <c r="B302" s="5"/>
      <c r="C302" s="5"/>
      <c r="D302" s="5"/>
      <c r="E302" s="5"/>
    </row>
    <row r="303" spans="1:5" ht="15.75" customHeight="1">
      <c r="A303" s="5"/>
      <c r="B303" s="5"/>
      <c r="C303" s="5"/>
      <c r="D303" s="5"/>
      <c r="E303" s="5"/>
    </row>
    <row r="304" spans="1:5" ht="15.75" customHeight="1">
      <c r="A304" s="5"/>
      <c r="B304" s="5"/>
      <c r="C304" s="5"/>
      <c r="D304" s="5"/>
      <c r="E304" s="5"/>
    </row>
    <row r="305" spans="1:5" ht="15.75" customHeight="1">
      <c r="A305" s="5"/>
      <c r="B305" s="5"/>
      <c r="C305" s="5"/>
      <c r="D305" s="5"/>
      <c r="E305" s="5"/>
    </row>
    <row r="306" spans="1:5" ht="15.75" customHeight="1">
      <c r="A306" s="5"/>
      <c r="B306" s="5"/>
      <c r="C306" s="5"/>
      <c r="D306" s="5"/>
      <c r="E306" s="5"/>
    </row>
    <row r="307" spans="1:5" ht="15.75" customHeight="1">
      <c r="A307" s="5"/>
      <c r="B307" s="5"/>
      <c r="C307" s="5"/>
      <c r="D307" s="5"/>
      <c r="E307" s="5"/>
    </row>
    <row r="308" spans="1:5" ht="15.75" customHeight="1">
      <c r="A308" s="5"/>
      <c r="B308" s="5"/>
      <c r="C308" s="5"/>
      <c r="D308" s="5"/>
      <c r="E308" s="5"/>
    </row>
    <row r="309" spans="1:5" ht="15.75" customHeight="1">
      <c r="A309" s="5"/>
      <c r="B309" s="5"/>
      <c r="C309" s="5"/>
      <c r="D309" s="5"/>
      <c r="E309" s="5"/>
    </row>
    <row r="310" spans="1:5" ht="15.75" customHeight="1">
      <c r="A310" s="5"/>
      <c r="B310" s="5"/>
      <c r="C310" s="5"/>
      <c r="D310" s="5"/>
      <c r="E310" s="5"/>
    </row>
    <row r="311" spans="1:5" ht="15.75" customHeight="1">
      <c r="A311" s="5"/>
      <c r="B311" s="5"/>
      <c r="C311" s="5"/>
      <c r="D311" s="5"/>
      <c r="E311" s="5"/>
    </row>
    <row r="312" spans="1:5" ht="15.75" customHeight="1">
      <c r="A312" s="5"/>
      <c r="B312" s="5"/>
      <c r="C312" s="5"/>
      <c r="D312" s="5"/>
      <c r="E312" s="5"/>
    </row>
    <row r="313" spans="1:5" ht="15.75" customHeight="1">
      <c r="A313" s="5"/>
      <c r="B313" s="5"/>
      <c r="C313" s="5"/>
      <c r="D313" s="5"/>
      <c r="E313" s="5"/>
    </row>
    <row r="314" spans="1:5" ht="15.75" customHeight="1">
      <c r="A314" s="5"/>
      <c r="B314" s="5"/>
      <c r="C314" s="5"/>
      <c r="D314" s="5"/>
      <c r="E314" s="5"/>
    </row>
    <row r="315" spans="1:5" ht="15.75" customHeight="1">
      <c r="A315" s="5"/>
      <c r="B315" s="5"/>
      <c r="C315" s="5"/>
      <c r="D315" s="5"/>
      <c r="E315" s="5"/>
    </row>
    <row r="316" spans="1:5" ht="15.75" customHeight="1">
      <c r="A316" s="5"/>
      <c r="B316" s="5"/>
      <c r="C316" s="5"/>
      <c r="D316" s="5"/>
      <c r="E316" s="5"/>
    </row>
    <row r="317" spans="1:5" ht="15.75" customHeight="1">
      <c r="A317" s="5"/>
      <c r="B317" s="5"/>
      <c r="C317" s="5"/>
      <c r="D317" s="5"/>
      <c r="E317" s="5"/>
    </row>
    <row r="318" spans="1:5" ht="15.75" customHeight="1">
      <c r="A318" s="5"/>
      <c r="B318" s="5"/>
      <c r="C318" s="5"/>
      <c r="D318" s="5"/>
      <c r="E318" s="5"/>
    </row>
    <row r="319" spans="1:5" ht="15.75" customHeight="1">
      <c r="A319" s="5"/>
      <c r="B319" s="5"/>
      <c r="C319" s="5"/>
      <c r="D319" s="5"/>
      <c r="E319" s="5"/>
    </row>
    <row r="320" spans="1:5" ht="15.75" customHeight="1">
      <c r="A320" s="5"/>
      <c r="B320" s="5"/>
      <c r="C320" s="5"/>
      <c r="D320" s="5"/>
      <c r="E320" s="5"/>
    </row>
    <row r="321" spans="1:5" ht="15.75" customHeight="1">
      <c r="A321" s="5"/>
      <c r="B321" s="5"/>
      <c r="C321" s="5"/>
      <c r="D321" s="5"/>
      <c r="E321" s="5"/>
    </row>
    <row r="322" spans="1:5" ht="15.75" customHeight="1">
      <c r="A322" s="5"/>
      <c r="B322" s="5"/>
      <c r="C322" s="5"/>
      <c r="D322" s="5"/>
      <c r="E322" s="5"/>
    </row>
    <row r="323" spans="1:5" ht="15.75" customHeight="1">
      <c r="A323" s="5"/>
      <c r="B323" s="5"/>
      <c r="C323" s="5"/>
      <c r="D323" s="5"/>
      <c r="E323" s="5"/>
    </row>
    <row r="324" spans="1:5" ht="15.75" customHeight="1">
      <c r="A324" s="5"/>
      <c r="B324" s="5"/>
      <c r="C324" s="5"/>
      <c r="D324" s="5"/>
      <c r="E324" s="5"/>
    </row>
    <row r="325" spans="1:5" ht="15.75" customHeight="1">
      <c r="A325" s="5"/>
      <c r="B325" s="5"/>
      <c r="C325" s="5"/>
      <c r="D325" s="5"/>
      <c r="E325" s="5"/>
    </row>
    <row r="326" spans="1:5" ht="15.75" customHeight="1">
      <c r="A326" s="5"/>
      <c r="B326" s="5"/>
      <c r="C326" s="5"/>
      <c r="D326" s="5"/>
      <c r="E326" s="5"/>
    </row>
    <row r="327" spans="1:5" ht="15.75" customHeight="1">
      <c r="A327" s="5"/>
      <c r="B327" s="5"/>
      <c r="C327" s="5"/>
      <c r="D327" s="5"/>
      <c r="E327" s="5"/>
    </row>
    <row r="328" spans="1:5" ht="15.75" customHeight="1">
      <c r="A328" s="5"/>
      <c r="B328" s="5"/>
      <c r="C328" s="5"/>
      <c r="D328" s="5"/>
      <c r="E328" s="5"/>
    </row>
    <row r="329" spans="1:5" ht="15.75" customHeight="1">
      <c r="A329" s="5"/>
      <c r="B329" s="5"/>
      <c r="C329" s="5"/>
      <c r="D329" s="5"/>
      <c r="E329" s="5"/>
    </row>
    <row r="330" spans="1:5" ht="15.75" customHeight="1">
      <c r="A330" s="5"/>
      <c r="B330" s="5"/>
      <c r="C330" s="5"/>
      <c r="D330" s="5"/>
      <c r="E330" s="5"/>
    </row>
    <row r="331" spans="1:5" ht="15.75" customHeight="1">
      <c r="A331" s="5"/>
      <c r="B331" s="5"/>
      <c r="C331" s="5"/>
      <c r="D331" s="5"/>
      <c r="E331" s="5"/>
    </row>
    <row r="332" spans="1:5" ht="15.75" customHeight="1">
      <c r="A332" s="5"/>
      <c r="B332" s="5"/>
      <c r="C332" s="5"/>
      <c r="D332" s="5"/>
      <c r="E332" s="5"/>
    </row>
    <row r="333" spans="1:5" ht="15.75" customHeight="1">
      <c r="A333" s="5"/>
      <c r="B333" s="5"/>
      <c r="C333" s="5"/>
      <c r="D333" s="5"/>
      <c r="E333" s="5"/>
    </row>
    <row r="334" spans="1:5" ht="15.75" customHeight="1">
      <c r="A334" s="5"/>
      <c r="B334" s="5"/>
      <c r="C334" s="5"/>
      <c r="D334" s="5"/>
      <c r="E334" s="5"/>
    </row>
    <row r="335" spans="1:5" ht="15.75" customHeight="1">
      <c r="A335" s="5"/>
      <c r="B335" s="5"/>
      <c r="C335" s="5"/>
      <c r="D335" s="5"/>
      <c r="E335" s="5"/>
    </row>
    <row r="336" spans="1:5" ht="15.75" customHeight="1">
      <c r="A336" s="5"/>
      <c r="B336" s="5"/>
      <c r="C336" s="5"/>
      <c r="D336" s="5"/>
      <c r="E336" s="5"/>
    </row>
    <row r="337" spans="1:5" ht="15.75" customHeight="1">
      <c r="A337" s="5"/>
      <c r="B337" s="5"/>
      <c r="C337" s="5"/>
      <c r="D337" s="5"/>
      <c r="E337" s="5"/>
    </row>
    <row r="338" spans="1:5" ht="15.75" customHeight="1">
      <c r="A338" s="5"/>
      <c r="B338" s="5"/>
      <c r="C338" s="5"/>
      <c r="D338" s="5"/>
      <c r="E338" s="5"/>
    </row>
    <row r="339" spans="1:5" ht="15.75" customHeight="1">
      <c r="A339" s="5"/>
      <c r="B339" s="5"/>
      <c r="C339" s="5"/>
      <c r="D339" s="5"/>
      <c r="E339" s="5"/>
    </row>
    <row r="340" spans="1:5" ht="15.75" customHeight="1">
      <c r="A340" s="5"/>
      <c r="B340" s="5"/>
      <c r="C340" s="5"/>
      <c r="D340" s="5"/>
      <c r="E340" s="5"/>
    </row>
    <row r="341" spans="1:5" ht="15.75" customHeight="1">
      <c r="A341" s="5"/>
      <c r="B341" s="5"/>
      <c r="C341" s="5"/>
      <c r="D341" s="5"/>
      <c r="E341" s="5"/>
    </row>
    <row r="342" spans="1:5" ht="15.75" customHeight="1">
      <c r="A342" s="5"/>
      <c r="B342" s="5"/>
      <c r="C342" s="5"/>
      <c r="D342" s="5"/>
      <c r="E342" s="5"/>
    </row>
    <row r="343" spans="1:5" ht="15.75" customHeight="1">
      <c r="A343" s="5"/>
      <c r="B343" s="5"/>
      <c r="C343" s="5"/>
      <c r="D343" s="5"/>
      <c r="E343" s="5"/>
    </row>
    <row r="344" spans="1:5" ht="15.75" customHeight="1">
      <c r="A344" s="5"/>
      <c r="B344" s="5"/>
      <c r="C344" s="5"/>
      <c r="D344" s="5"/>
      <c r="E344" s="5"/>
    </row>
    <row r="345" spans="1:5" ht="15.75" customHeight="1">
      <c r="A345" s="5"/>
      <c r="B345" s="5"/>
      <c r="C345" s="5"/>
      <c r="D345" s="5"/>
      <c r="E345" s="5"/>
    </row>
    <row r="346" spans="1:5" ht="15.75" customHeight="1">
      <c r="A346" s="5"/>
      <c r="B346" s="5"/>
      <c r="C346" s="5"/>
      <c r="D346" s="5"/>
      <c r="E346" s="5"/>
    </row>
    <row r="347" spans="1:5" ht="15.75" customHeight="1">
      <c r="A347" s="5"/>
      <c r="B347" s="5"/>
      <c r="C347" s="5"/>
      <c r="D347" s="5"/>
      <c r="E347" s="5"/>
    </row>
    <row r="348" spans="1:5" ht="15.75" customHeight="1">
      <c r="A348" s="5"/>
      <c r="B348" s="5"/>
      <c r="C348" s="5"/>
      <c r="D348" s="5"/>
      <c r="E348" s="5"/>
    </row>
    <row r="349" spans="1:5" ht="15.75" customHeight="1">
      <c r="A349" s="5"/>
      <c r="B349" s="5"/>
      <c r="C349" s="5"/>
      <c r="D349" s="5"/>
      <c r="E349" s="5"/>
    </row>
    <row r="350" spans="1:5" ht="15.75" customHeight="1">
      <c r="A350" s="5"/>
      <c r="B350" s="5"/>
      <c r="C350" s="5"/>
      <c r="D350" s="5"/>
      <c r="E350" s="5"/>
    </row>
    <row r="351" spans="1:5" ht="15.75" customHeight="1">
      <c r="A351" s="5"/>
      <c r="B351" s="5"/>
      <c r="C351" s="5"/>
      <c r="D351" s="5"/>
      <c r="E351" s="5"/>
    </row>
    <row r="352" spans="1:5" ht="15.75" customHeight="1">
      <c r="A352" s="5"/>
      <c r="B352" s="5"/>
      <c r="C352" s="5"/>
      <c r="D352" s="5"/>
      <c r="E352" s="5"/>
    </row>
    <row r="353" spans="1:5" ht="15.75" customHeight="1">
      <c r="A353" s="5"/>
      <c r="B353" s="5"/>
      <c r="C353" s="5"/>
      <c r="D353" s="5"/>
      <c r="E353" s="5"/>
    </row>
    <row r="354" spans="1:5" ht="15.75" customHeight="1">
      <c r="A354" s="5"/>
      <c r="B354" s="5"/>
      <c r="C354" s="5"/>
      <c r="D354" s="5"/>
      <c r="E354" s="5"/>
    </row>
    <row r="355" spans="1:5" ht="15.75" customHeight="1">
      <c r="A355" s="5"/>
      <c r="B355" s="5"/>
      <c r="C355" s="5"/>
      <c r="D355" s="5"/>
      <c r="E355" s="5"/>
    </row>
    <row r="356" spans="1:5" ht="15.75" customHeight="1">
      <c r="A356" s="5"/>
      <c r="B356" s="5"/>
      <c r="C356" s="5"/>
      <c r="D356" s="5"/>
      <c r="E356" s="5"/>
    </row>
    <row r="357" spans="1:5" ht="15.75" customHeight="1">
      <c r="A357" s="5"/>
      <c r="B357" s="5"/>
      <c r="C357" s="5"/>
      <c r="D357" s="5"/>
      <c r="E357" s="5"/>
    </row>
    <row r="358" spans="1:5" ht="15.75" customHeight="1">
      <c r="A358" s="5"/>
      <c r="B358" s="5"/>
      <c r="C358" s="5"/>
      <c r="D358" s="5"/>
      <c r="E358" s="5"/>
    </row>
    <row r="359" spans="1:5" ht="15.75" customHeight="1">
      <c r="A359" s="5"/>
      <c r="B359" s="5"/>
      <c r="C359" s="5"/>
      <c r="D359" s="5"/>
      <c r="E359" s="5"/>
    </row>
    <row r="360" spans="1:5" ht="15.75" customHeight="1">
      <c r="A360" s="5"/>
      <c r="B360" s="5"/>
      <c r="C360" s="5"/>
      <c r="D360" s="5"/>
      <c r="E360" s="5"/>
    </row>
    <row r="361" spans="1:5" ht="15.75" customHeight="1">
      <c r="A361" s="5"/>
      <c r="B361" s="5"/>
      <c r="C361" s="5"/>
      <c r="D361" s="5"/>
      <c r="E361" s="5"/>
    </row>
    <row r="362" spans="1:5" ht="15.75" customHeight="1">
      <c r="A362" s="5"/>
      <c r="B362" s="5"/>
      <c r="C362" s="5"/>
      <c r="D362" s="5"/>
      <c r="E362" s="5"/>
    </row>
    <row r="363" spans="1:5" ht="15.75" customHeight="1">
      <c r="A363" s="5"/>
      <c r="B363" s="5"/>
      <c r="C363" s="5"/>
      <c r="D363" s="5"/>
      <c r="E363" s="5"/>
    </row>
    <row r="364" spans="1:5" ht="15.75" customHeight="1">
      <c r="A364" s="5"/>
      <c r="B364" s="5"/>
      <c r="C364" s="5"/>
      <c r="D364" s="5"/>
      <c r="E364" s="5"/>
    </row>
    <row r="365" spans="1:5" ht="15.75" customHeight="1">
      <c r="A365" s="5"/>
      <c r="B365" s="5"/>
      <c r="C365" s="5"/>
      <c r="D365" s="5"/>
      <c r="E365" s="5"/>
    </row>
    <row r="366" spans="1:5" ht="15.75" customHeight="1">
      <c r="A366" s="5"/>
      <c r="B366" s="5"/>
      <c r="C366" s="5"/>
      <c r="D366" s="5"/>
      <c r="E366" s="5"/>
    </row>
    <row r="367" spans="1:5" ht="15.75" customHeight="1">
      <c r="A367" s="5"/>
      <c r="B367" s="5"/>
      <c r="C367" s="5"/>
      <c r="D367" s="5"/>
      <c r="E367" s="5"/>
    </row>
    <row r="368" spans="1:5" ht="15.75" customHeight="1">
      <c r="A368" s="5"/>
      <c r="B368" s="5"/>
      <c r="C368" s="5"/>
      <c r="D368" s="5"/>
      <c r="E368" s="5"/>
    </row>
    <row r="369" spans="1:5" ht="15.75" customHeight="1">
      <c r="A369" s="5"/>
      <c r="B369" s="5"/>
      <c r="C369" s="5"/>
      <c r="D369" s="5"/>
      <c r="E369" s="5"/>
    </row>
    <row r="370" spans="1:5" ht="15.75" customHeight="1">
      <c r="A370" s="5"/>
      <c r="B370" s="5"/>
      <c r="C370" s="5"/>
      <c r="D370" s="5"/>
      <c r="E370" s="5"/>
    </row>
    <row r="371" spans="1:5" ht="15.75" customHeight="1">
      <c r="A371" s="5"/>
      <c r="B371" s="5"/>
      <c r="C371" s="5"/>
      <c r="D371" s="5"/>
      <c r="E371" s="5"/>
    </row>
    <row r="372" spans="1:5" ht="15.75" customHeight="1">
      <c r="A372" s="5"/>
      <c r="B372" s="5"/>
      <c r="C372" s="5"/>
      <c r="D372" s="5"/>
      <c r="E372" s="5"/>
    </row>
    <row r="373" spans="1:5" ht="15.75" customHeight="1">
      <c r="A373" s="5"/>
      <c r="B373" s="5"/>
      <c r="C373" s="5"/>
      <c r="D373" s="5"/>
      <c r="E373" s="5"/>
    </row>
    <row r="374" spans="1:5" ht="15.75" customHeight="1">
      <c r="A374" s="5"/>
      <c r="B374" s="5"/>
      <c r="C374" s="5"/>
      <c r="D374" s="5"/>
      <c r="E374" s="5"/>
    </row>
    <row r="375" spans="1:5" ht="15.75" customHeight="1">
      <c r="A375" s="5"/>
      <c r="B375" s="5"/>
      <c r="C375" s="5"/>
      <c r="D375" s="5"/>
      <c r="E375" s="5"/>
    </row>
    <row r="376" spans="1:5" ht="15.75" customHeight="1">
      <c r="A376" s="5"/>
      <c r="B376" s="5"/>
      <c r="C376" s="5"/>
      <c r="D376" s="5"/>
      <c r="E376" s="5"/>
    </row>
    <row r="377" spans="1:5" ht="15.75" customHeight="1">
      <c r="A377" s="5"/>
      <c r="B377" s="5"/>
      <c r="C377" s="5"/>
      <c r="D377" s="5"/>
      <c r="E377" s="5"/>
    </row>
    <row r="378" spans="1:5" ht="15.75" customHeight="1">
      <c r="A378" s="5"/>
      <c r="B378" s="5"/>
      <c r="C378" s="5"/>
      <c r="D378" s="5"/>
      <c r="E378" s="5"/>
    </row>
    <row r="379" spans="1:5" ht="15.75" customHeight="1">
      <c r="A379" s="5"/>
      <c r="B379" s="5"/>
      <c r="C379" s="5"/>
      <c r="D379" s="5"/>
      <c r="E379" s="5"/>
    </row>
    <row r="380" spans="1:5" ht="15.75" customHeight="1">
      <c r="A380" s="5"/>
      <c r="B380" s="5"/>
      <c r="C380" s="5"/>
      <c r="D380" s="5"/>
      <c r="E380" s="5"/>
    </row>
    <row r="381" spans="1:5" ht="15.75" customHeight="1">
      <c r="A381" s="5"/>
      <c r="B381" s="5"/>
      <c r="C381" s="5"/>
      <c r="D381" s="5"/>
      <c r="E381" s="5"/>
    </row>
    <row r="382" spans="1:5" ht="15.75" customHeight="1">
      <c r="A382" s="5"/>
      <c r="B382" s="5"/>
      <c r="C382" s="5"/>
      <c r="D382" s="5"/>
      <c r="E382" s="5"/>
    </row>
    <row r="383" spans="1:5" ht="15.75" customHeight="1">
      <c r="A383" s="5"/>
      <c r="B383" s="5"/>
      <c r="C383" s="5"/>
      <c r="D383" s="5"/>
      <c r="E383" s="5"/>
    </row>
    <row r="384" spans="1:5" ht="15.75" customHeight="1">
      <c r="A384" s="5"/>
      <c r="B384" s="5"/>
      <c r="C384" s="5"/>
      <c r="D384" s="5"/>
      <c r="E384" s="5"/>
    </row>
    <row r="385" spans="1:5" ht="15.75" customHeight="1">
      <c r="A385" s="5"/>
      <c r="B385" s="5"/>
      <c r="C385" s="5"/>
      <c r="D385" s="5"/>
      <c r="E385" s="5"/>
    </row>
    <row r="386" spans="1:5" ht="15.75" customHeight="1">
      <c r="A386" s="5"/>
      <c r="B386" s="5"/>
      <c r="C386" s="5"/>
      <c r="D386" s="5"/>
      <c r="E386" s="5"/>
    </row>
    <row r="387" spans="1:5" ht="15.75" customHeight="1">
      <c r="A387" s="5"/>
      <c r="B387" s="5"/>
      <c r="C387" s="5"/>
      <c r="D387" s="5"/>
      <c r="E387" s="5"/>
    </row>
    <row r="388" spans="1:5" ht="15.75" customHeight="1">
      <c r="A388" s="5"/>
      <c r="B388" s="5"/>
      <c r="C388" s="5"/>
      <c r="D388" s="5"/>
      <c r="E388" s="5"/>
    </row>
    <row r="389" spans="1:5" ht="15.75" customHeight="1">
      <c r="A389" s="5"/>
      <c r="B389" s="5"/>
      <c r="C389" s="5"/>
      <c r="D389" s="5"/>
      <c r="E389" s="5"/>
    </row>
    <row r="390" spans="1:5" ht="15.75" customHeight="1">
      <c r="A390" s="5"/>
      <c r="B390" s="5"/>
      <c r="C390" s="5"/>
      <c r="D390" s="5"/>
      <c r="E390" s="5"/>
    </row>
    <row r="391" spans="1:5" ht="15.75" customHeight="1">
      <c r="A391" s="5"/>
      <c r="B391" s="5"/>
      <c r="C391" s="5"/>
      <c r="D391" s="5"/>
      <c r="E391" s="5"/>
    </row>
    <row r="392" spans="1:5" ht="15.75" customHeight="1">
      <c r="A392" s="5"/>
      <c r="B392" s="5"/>
      <c r="C392" s="5"/>
      <c r="D392" s="5"/>
      <c r="E392" s="5"/>
    </row>
    <row r="393" spans="1:5" ht="15.75" customHeight="1">
      <c r="A393" s="5"/>
      <c r="B393" s="5"/>
      <c r="C393" s="5"/>
      <c r="D393" s="5"/>
      <c r="E393" s="5"/>
    </row>
    <row r="394" spans="1:5" ht="15.75" customHeight="1">
      <c r="A394" s="5"/>
      <c r="B394" s="5"/>
      <c r="C394" s="5"/>
      <c r="D394" s="5"/>
      <c r="E394" s="5"/>
    </row>
    <row r="395" spans="1:5" ht="15.75" customHeight="1">
      <c r="A395" s="5"/>
      <c r="B395" s="5"/>
      <c r="C395" s="5"/>
      <c r="D395" s="5"/>
      <c r="E395" s="5"/>
    </row>
    <row r="396" spans="1:5" ht="15.75" customHeight="1">
      <c r="A396" s="5"/>
      <c r="B396" s="5"/>
      <c r="C396" s="5"/>
      <c r="D396" s="5"/>
      <c r="E396" s="5"/>
    </row>
    <row r="397" spans="1:5" ht="15.75" customHeight="1">
      <c r="A397" s="5"/>
      <c r="B397" s="5"/>
      <c r="C397" s="5"/>
      <c r="D397" s="5"/>
      <c r="E397" s="5"/>
    </row>
    <row r="398" spans="1:5" ht="15.75" customHeight="1">
      <c r="A398" s="5"/>
      <c r="B398" s="5"/>
      <c r="C398" s="5"/>
      <c r="D398" s="5"/>
      <c r="E398" s="5"/>
    </row>
    <row r="399" spans="1:5" ht="15.75" customHeight="1">
      <c r="A399" s="5"/>
      <c r="B399" s="5"/>
      <c r="C399" s="5"/>
      <c r="D399" s="5"/>
      <c r="E399" s="5"/>
    </row>
    <row r="400" spans="1:5" ht="15.75" customHeight="1">
      <c r="A400" s="5"/>
      <c r="B400" s="5"/>
      <c r="C400" s="5"/>
      <c r="D400" s="5"/>
      <c r="E400" s="5"/>
    </row>
    <row r="401" spans="1:5" ht="15.75" customHeight="1">
      <c r="A401" s="5"/>
      <c r="B401" s="5"/>
      <c r="C401" s="5"/>
      <c r="D401" s="5"/>
      <c r="E401" s="5"/>
    </row>
    <row r="402" spans="1:5" ht="15.75" customHeight="1">
      <c r="A402" s="5"/>
      <c r="B402" s="5"/>
      <c r="C402" s="5"/>
      <c r="D402" s="5"/>
      <c r="E402" s="5"/>
    </row>
    <row r="403" spans="1:5" ht="15.75" customHeight="1">
      <c r="A403" s="5"/>
      <c r="B403" s="5"/>
      <c r="C403" s="5"/>
      <c r="D403" s="5"/>
      <c r="E403" s="5"/>
    </row>
    <row r="404" spans="1:5" ht="15.75" customHeight="1">
      <c r="A404" s="5"/>
      <c r="B404" s="5"/>
      <c r="C404" s="5"/>
      <c r="D404" s="5"/>
      <c r="E404" s="5"/>
    </row>
    <row r="405" spans="1:5" ht="15.75" customHeight="1">
      <c r="A405" s="5"/>
      <c r="B405" s="5"/>
      <c r="C405" s="5"/>
      <c r="D405" s="5"/>
      <c r="E405" s="5"/>
    </row>
    <row r="406" spans="1:5" ht="15.75" customHeight="1">
      <c r="A406" s="5"/>
      <c r="B406" s="5"/>
      <c r="C406" s="5"/>
      <c r="D406" s="5"/>
      <c r="E406" s="5"/>
    </row>
    <row r="407" spans="1:5" ht="15.75" customHeight="1">
      <c r="A407" s="5"/>
      <c r="B407" s="5"/>
      <c r="C407" s="5"/>
      <c r="D407" s="5"/>
      <c r="E407" s="5"/>
    </row>
    <row r="408" spans="1:5" ht="15.75" customHeight="1">
      <c r="A408" s="5"/>
      <c r="B408" s="5"/>
      <c r="C408" s="5"/>
      <c r="D408" s="5"/>
      <c r="E408" s="5"/>
    </row>
    <row r="409" spans="1:5" ht="15.75" customHeight="1">
      <c r="A409" s="5"/>
      <c r="B409" s="5"/>
      <c r="C409" s="5"/>
      <c r="D409" s="5"/>
      <c r="E409" s="5"/>
    </row>
    <row r="410" spans="1:5" ht="15.75" customHeight="1">
      <c r="A410" s="5"/>
      <c r="B410" s="5"/>
      <c r="C410" s="5"/>
      <c r="D410" s="5"/>
      <c r="E410" s="5"/>
    </row>
    <row r="411" spans="1:5" ht="15.75" customHeight="1">
      <c r="A411" s="5"/>
      <c r="B411" s="5"/>
      <c r="C411" s="5"/>
      <c r="D411" s="5"/>
      <c r="E411" s="5"/>
    </row>
    <row r="412" spans="1:5" ht="15.75" customHeight="1">
      <c r="A412" s="5"/>
      <c r="B412" s="5"/>
      <c r="C412" s="5"/>
      <c r="D412" s="5"/>
      <c r="E412" s="5"/>
    </row>
    <row r="413" spans="1:5" ht="15.75" customHeight="1">
      <c r="A413" s="5"/>
      <c r="B413" s="5"/>
      <c r="C413" s="5"/>
      <c r="D413" s="5"/>
      <c r="E413" s="5"/>
    </row>
    <row r="414" spans="1:5" ht="15.75" customHeight="1">
      <c r="A414" s="5"/>
      <c r="B414" s="5"/>
      <c r="C414" s="5"/>
      <c r="D414" s="5"/>
      <c r="E414" s="5"/>
    </row>
    <row r="415" spans="1:5" ht="15.75" customHeight="1">
      <c r="A415" s="5"/>
      <c r="B415" s="5"/>
      <c r="C415" s="5"/>
      <c r="D415" s="5"/>
      <c r="E415" s="5"/>
    </row>
    <row r="416" spans="1:5" ht="15.75" customHeight="1">
      <c r="A416" s="5"/>
      <c r="B416" s="5"/>
      <c r="C416" s="5"/>
      <c r="D416" s="5"/>
      <c r="E416" s="5"/>
    </row>
    <row r="417" spans="1:5" ht="15.75" customHeight="1">
      <c r="A417" s="5"/>
      <c r="B417" s="5"/>
      <c r="C417" s="5"/>
      <c r="D417" s="5"/>
      <c r="E417" s="5"/>
    </row>
    <row r="418" spans="1:5" ht="15.75" customHeight="1">
      <c r="A418" s="5"/>
      <c r="B418" s="5"/>
      <c r="C418" s="5"/>
      <c r="D418" s="5"/>
      <c r="E418" s="5"/>
    </row>
    <row r="419" spans="1:5" ht="15.75" customHeight="1">
      <c r="A419" s="5"/>
      <c r="B419" s="5"/>
      <c r="C419" s="5"/>
      <c r="D419" s="5"/>
      <c r="E419" s="5"/>
    </row>
    <row r="420" spans="1:5" ht="15.75" customHeight="1">
      <c r="A420" s="5"/>
      <c r="B420" s="5"/>
      <c r="C420" s="5"/>
      <c r="D420" s="5"/>
      <c r="E420" s="5"/>
    </row>
    <row r="421" spans="1:5" ht="15.75" customHeight="1">
      <c r="A421" s="5"/>
      <c r="B421" s="5"/>
      <c r="C421" s="5"/>
      <c r="D421" s="5"/>
      <c r="E421" s="5"/>
    </row>
    <row r="422" spans="1:5" ht="15.75" customHeight="1">
      <c r="A422" s="5"/>
      <c r="B422" s="5"/>
      <c r="C422" s="5"/>
      <c r="D422" s="5"/>
      <c r="E422" s="5"/>
    </row>
    <row r="423" spans="1:5" ht="15.75" customHeight="1">
      <c r="A423" s="5"/>
      <c r="B423" s="5"/>
      <c r="C423" s="5"/>
      <c r="D423" s="5"/>
      <c r="E423" s="5"/>
    </row>
    <row r="424" spans="1:5" ht="15.75" customHeight="1">
      <c r="A424" s="5"/>
      <c r="B424" s="5"/>
      <c r="C424" s="5"/>
      <c r="D424" s="5"/>
      <c r="E424" s="5"/>
    </row>
    <row r="425" spans="1:5" ht="15.75" customHeight="1">
      <c r="A425" s="5"/>
      <c r="B425" s="5"/>
      <c r="C425" s="5"/>
      <c r="D425" s="5"/>
      <c r="E425" s="5"/>
    </row>
    <row r="426" spans="1:5" ht="15.75" customHeight="1">
      <c r="A426" s="5"/>
      <c r="B426" s="5"/>
      <c r="C426" s="5"/>
      <c r="D426" s="5"/>
      <c r="E426" s="5"/>
    </row>
    <row r="427" spans="1:5" ht="15.75" customHeight="1">
      <c r="A427" s="5"/>
      <c r="B427" s="5"/>
      <c r="C427" s="5"/>
      <c r="D427" s="5"/>
      <c r="E427" s="5"/>
    </row>
    <row r="428" spans="1:5" ht="15.75" customHeight="1">
      <c r="A428" s="5"/>
      <c r="B428" s="5"/>
      <c r="C428" s="5"/>
      <c r="D428" s="5"/>
      <c r="E428" s="5"/>
    </row>
    <row r="429" spans="1:5" ht="15.75" customHeight="1">
      <c r="A429" s="5"/>
      <c r="B429" s="5"/>
      <c r="C429" s="5"/>
      <c r="D429" s="5"/>
      <c r="E429" s="5"/>
    </row>
    <row r="430" spans="1:5" ht="15.75" customHeight="1">
      <c r="A430" s="5"/>
      <c r="B430" s="5"/>
      <c r="C430" s="5"/>
      <c r="D430" s="5"/>
      <c r="E430" s="5"/>
    </row>
    <row r="431" spans="1:5" ht="15.75" customHeight="1">
      <c r="A431" s="5"/>
      <c r="B431" s="5"/>
      <c r="C431" s="5"/>
      <c r="D431" s="5"/>
      <c r="E431" s="5"/>
    </row>
    <row r="432" spans="1:5" ht="15.75" customHeight="1">
      <c r="A432" s="5"/>
      <c r="B432" s="5"/>
      <c r="C432" s="5"/>
      <c r="D432" s="5"/>
      <c r="E432" s="5"/>
    </row>
    <row r="433" spans="1:5" ht="15.75" customHeight="1">
      <c r="A433" s="5"/>
      <c r="B433" s="5"/>
      <c r="C433" s="5"/>
      <c r="D433" s="5"/>
      <c r="E433" s="5"/>
    </row>
    <row r="434" spans="1:5" ht="15.75" customHeight="1">
      <c r="A434" s="5"/>
      <c r="B434" s="5"/>
      <c r="C434" s="5"/>
      <c r="D434" s="5"/>
      <c r="E434" s="5"/>
    </row>
    <row r="435" spans="1:5" ht="15.75" customHeight="1">
      <c r="A435" s="5"/>
      <c r="B435" s="5"/>
      <c r="C435" s="5"/>
      <c r="D435" s="5"/>
      <c r="E435" s="5"/>
    </row>
    <row r="436" spans="1:5" ht="15.75" customHeight="1">
      <c r="A436" s="5"/>
      <c r="B436" s="5"/>
      <c r="C436" s="5"/>
      <c r="D436" s="5"/>
      <c r="E436" s="5"/>
    </row>
    <row r="437" spans="1:5" ht="15.75" customHeight="1">
      <c r="A437" s="5"/>
      <c r="B437" s="5"/>
      <c r="C437" s="5"/>
      <c r="D437" s="5"/>
      <c r="E437" s="5"/>
    </row>
    <row r="438" spans="1:5" ht="15.75" customHeight="1">
      <c r="A438" s="5"/>
      <c r="B438" s="5"/>
      <c r="C438" s="5"/>
      <c r="D438" s="5"/>
      <c r="E438" s="5"/>
    </row>
    <row r="439" spans="1:5" ht="15.75" customHeight="1">
      <c r="A439" s="5"/>
      <c r="B439" s="5"/>
      <c r="C439" s="5"/>
      <c r="D439" s="5"/>
      <c r="E439" s="5"/>
    </row>
    <row r="440" spans="1:5" ht="15.75" customHeight="1">
      <c r="A440" s="5"/>
      <c r="B440" s="5"/>
      <c r="C440" s="5"/>
      <c r="D440" s="5"/>
      <c r="E440" s="5"/>
    </row>
    <row r="441" spans="1:5" ht="15.75" customHeight="1">
      <c r="A441" s="5"/>
      <c r="B441" s="5"/>
      <c r="C441" s="5"/>
      <c r="D441" s="5"/>
      <c r="E441" s="5"/>
    </row>
    <row r="442" spans="1:5" ht="15.75" customHeight="1">
      <c r="A442" s="5"/>
      <c r="B442" s="5"/>
      <c r="C442" s="5"/>
      <c r="D442" s="5"/>
      <c r="E442" s="5"/>
    </row>
    <row r="443" spans="1:5" ht="15.75" customHeight="1">
      <c r="A443" s="5"/>
      <c r="B443" s="5"/>
      <c r="C443" s="5"/>
      <c r="D443" s="5"/>
      <c r="E443" s="5"/>
    </row>
    <row r="444" spans="1:5" ht="15.75" customHeight="1">
      <c r="A444" s="5"/>
      <c r="B444" s="5"/>
      <c r="C444" s="5"/>
      <c r="D444" s="5"/>
      <c r="E444" s="5"/>
    </row>
    <row r="445" spans="1:5" ht="15.75" customHeight="1">
      <c r="A445" s="5"/>
      <c r="B445" s="5"/>
      <c r="C445" s="5"/>
      <c r="D445" s="5"/>
      <c r="E445" s="5"/>
    </row>
    <row r="446" spans="1:5" ht="15.75" customHeight="1">
      <c r="A446" s="5"/>
      <c r="B446" s="5"/>
      <c r="C446" s="5"/>
      <c r="D446" s="5"/>
      <c r="E446" s="5"/>
    </row>
    <row r="447" spans="1:5" ht="15.75" customHeight="1">
      <c r="A447" s="5"/>
      <c r="B447" s="5"/>
      <c r="C447" s="5"/>
      <c r="D447" s="5"/>
      <c r="E447" s="5"/>
    </row>
    <row r="448" spans="1:5" ht="15.75" customHeight="1">
      <c r="A448" s="5"/>
      <c r="B448" s="5"/>
      <c r="C448" s="5"/>
      <c r="D448" s="5"/>
      <c r="E448" s="5"/>
    </row>
    <row r="449" spans="1:5" ht="15.75" customHeight="1">
      <c r="A449" s="5"/>
      <c r="B449" s="5"/>
      <c r="C449" s="5"/>
      <c r="D449" s="5"/>
      <c r="E449" s="5"/>
    </row>
    <row r="450" spans="1:5" ht="15.75" customHeight="1">
      <c r="A450" s="5"/>
      <c r="B450" s="5"/>
      <c r="C450" s="5"/>
      <c r="D450" s="5"/>
      <c r="E450" s="5"/>
    </row>
    <row r="451" spans="1:5" ht="15.75" customHeight="1">
      <c r="A451" s="5"/>
      <c r="B451" s="5"/>
      <c r="C451" s="5"/>
      <c r="D451" s="5"/>
      <c r="E451" s="5"/>
    </row>
    <row r="452" spans="1:5" ht="15.75" customHeight="1">
      <c r="A452" s="5"/>
      <c r="B452" s="5"/>
      <c r="C452" s="5"/>
      <c r="D452" s="5"/>
      <c r="E452" s="5"/>
    </row>
    <row r="453" spans="1:5" ht="15.75" customHeight="1">
      <c r="A453" s="5"/>
      <c r="B453" s="5"/>
      <c r="C453" s="5"/>
      <c r="D453" s="5"/>
      <c r="E453" s="5"/>
    </row>
    <row r="454" spans="1:5" ht="15.75" customHeight="1">
      <c r="A454" s="5"/>
      <c r="B454" s="5"/>
      <c r="C454" s="5"/>
      <c r="D454" s="5"/>
      <c r="E454" s="5"/>
    </row>
    <row r="455" spans="1:5" ht="15.75" customHeight="1">
      <c r="A455" s="5"/>
      <c r="B455" s="5"/>
      <c r="C455" s="5"/>
      <c r="D455" s="5"/>
      <c r="E455" s="5"/>
    </row>
    <row r="456" spans="1:5" ht="15.75" customHeight="1">
      <c r="A456" s="5"/>
      <c r="B456" s="5"/>
      <c r="C456" s="5"/>
      <c r="D456" s="5"/>
      <c r="E456" s="5"/>
    </row>
    <row r="457" spans="1:5" ht="15.75" customHeight="1">
      <c r="A457" s="5"/>
      <c r="B457" s="5"/>
      <c r="C457" s="5"/>
      <c r="D457" s="5"/>
      <c r="E457" s="5"/>
    </row>
    <row r="458" spans="1:5" ht="15.75" customHeight="1">
      <c r="A458" s="5"/>
      <c r="B458" s="5"/>
      <c r="C458" s="5"/>
      <c r="D458" s="5"/>
      <c r="E458" s="5"/>
    </row>
    <row r="459" spans="1:5" ht="15.75" customHeight="1">
      <c r="A459" s="5"/>
      <c r="B459" s="5"/>
      <c r="C459" s="5"/>
      <c r="D459" s="5"/>
      <c r="E459" s="5"/>
    </row>
    <row r="460" spans="1:5" ht="15.75" customHeight="1">
      <c r="A460" s="5"/>
      <c r="B460" s="5"/>
      <c r="C460" s="5"/>
      <c r="D460" s="5"/>
      <c r="E460" s="5"/>
    </row>
    <row r="461" spans="1:5" ht="15.75" customHeight="1">
      <c r="A461" s="5"/>
      <c r="B461" s="5"/>
      <c r="C461" s="5"/>
      <c r="D461" s="5"/>
      <c r="E461" s="5"/>
    </row>
    <row r="462" spans="1:5" ht="15.75" customHeight="1">
      <c r="A462" s="5"/>
      <c r="B462" s="5"/>
      <c r="C462" s="5"/>
      <c r="D462" s="5"/>
      <c r="E462" s="5"/>
    </row>
    <row r="463" spans="1:5" ht="15.75" customHeight="1">
      <c r="A463" s="5"/>
      <c r="B463" s="5"/>
      <c r="C463" s="5"/>
      <c r="D463" s="5"/>
      <c r="E463" s="5"/>
    </row>
    <row r="464" spans="1:5" ht="15.75" customHeight="1">
      <c r="A464" s="5"/>
      <c r="B464" s="5"/>
      <c r="C464" s="5"/>
      <c r="D464" s="5"/>
      <c r="E464" s="5"/>
    </row>
    <row r="465" spans="1:5" ht="15.75" customHeight="1">
      <c r="A465" s="5"/>
      <c r="B465" s="5"/>
      <c r="C465" s="5"/>
      <c r="D465" s="5"/>
      <c r="E465" s="5"/>
    </row>
    <row r="466" spans="1:5" ht="15.75" customHeight="1">
      <c r="A466" s="5"/>
      <c r="B466" s="5"/>
      <c r="C466" s="5"/>
      <c r="D466" s="5"/>
      <c r="E466" s="5"/>
    </row>
    <row r="467" spans="1:5" ht="15.75" customHeight="1">
      <c r="A467" s="5"/>
      <c r="B467" s="5"/>
      <c r="C467" s="5"/>
      <c r="D467" s="5"/>
      <c r="E467" s="5"/>
    </row>
    <row r="468" spans="1:5" ht="15.75" customHeight="1">
      <c r="A468" s="5"/>
      <c r="B468" s="5"/>
      <c r="C468" s="5"/>
      <c r="D468" s="5"/>
      <c r="E468" s="5"/>
    </row>
    <row r="469" spans="1:5" ht="15.75" customHeight="1">
      <c r="A469" s="5"/>
      <c r="B469" s="5"/>
      <c r="C469" s="5"/>
      <c r="D469" s="5"/>
      <c r="E469" s="5"/>
    </row>
    <row r="470" spans="1:5" ht="15.75" customHeight="1">
      <c r="A470" s="5"/>
      <c r="B470" s="5"/>
      <c r="C470" s="5"/>
      <c r="D470" s="5"/>
      <c r="E470" s="5"/>
    </row>
    <row r="471" spans="1:5" ht="15.75" customHeight="1">
      <c r="A471" s="5"/>
      <c r="B471" s="5"/>
      <c r="C471" s="5"/>
      <c r="D471" s="5"/>
      <c r="E471" s="5"/>
    </row>
    <row r="472" spans="1:5" ht="15.75" customHeight="1">
      <c r="A472" s="5"/>
      <c r="B472" s="5"/>
      <c r="C472" s="5"/>
      <c r="D472" s="5"/>
      <c r="E472" s="5"/>
    </row>
    <row r="473" spans="1:5" ht="15.75" customHeight="1">
      <c r="A473" s="5"/>
      <c r="B473" s="5"/>
      <c r="C473" s="5"/>
      <c r="D473" s="5"/>
      <c r="E473" s="5"/>
    </row>
    <row r="474" spans="1:5" ht="15.75" customHeight="1">
      <c r="A474" s="5"/>
      <c r="B474" s="5"/>
      <c r="C474" s="5"/>
      <c r="D474" s="5"/>
      <c r="E474" s="5"/>
    </row>
    <row r="475" spans="1:5" ht="15.75" customHeight="1">
      <c r="A475" s="5"/>
      <c r="B475" s="5"/>
      <c r="C475" s="5"/>
      <c r="D475" s="5"/>
      <c r="E475" s="5"/>
    </row>
    <row r="476" spans="1:5" ht="15.75" customHeight="1">
      <c r="A476" s="5"/>
      <c r="B476" s="5"/>
      <c r="C476" s="5"/>
      <c r="D476" s="5"/>
      <c r="E476" s="5"/>
    </row>
    <row r="477" spans="1:5" ht="15.75" customHeight="1">
      <c r="A477" s="5"/>
      <c r="B477" s="5"/>
      <c r="C477" s="5"/>
      <c r="D477" s="5"/>
      <c r="E477" s="5"/>
    </row>
    <row r="478" spans="1:5" ht="15.75" customHeight="1">
      <c r="A478" s="5"/>
      <c r="B478" s="5"/>
      <c r="C478" s="5"/>
      <c r="D478" s="5"/>
      <c r="E478" s="5"/>
    </row>
    <row r="479" spans="1:5" ht="15.75" customHeight="1">
      <c r="A479" s="5"/>
      <c r="B479" s="5"/>
      <c r="C479" s="5"/>
      <c r="D479" s="5"/>
      <c r="E479" s="5"/>
    </row>
    <row r="480" spans="1:5" ht="15.75" customHeight="1">
      <c r="A480" s="5"/>
      <c r="B480" s="5"/>
      <c r="C480" s="5"/>
      <c r="D480" s="5"/>
      <c r="E480" s="5"/>
    </row>
    <row r="481" spans="1:5" ht="15.75" customHeight="1">
      <c r="A481" s="5"/>
      <c r="B481" s="5"/>
      <c r="C481" s="5"/>
      <c r="D481" s="5"/>
      <c r="E481" s="5"/>
    </row>
    <row r="482" spans="1:5" ht="15.75" customHeight="1">
      <c r="A482" s="5"/>
      <c r="B482" s="5"/>
      <c r="C482" s="5"/>
      <c r="D482" s="5"/>
      <c r="E482" s="5"/>
    </row>
    <row r="483" spans="1:5" ht="15.75" customHeight="1">
      <c r="A483" s="5"/>
      <c r="B483" s="5"/>
      <c r="C483" s="5"/>
      <c r="D483" s="5"/>
      <c r="E483" s="5"/>
    </row>
    <row r="484" spans="1:5" ht="15.75" customHeight="1">
      <c r="A484" s="5"/>
      <c r="B484" s="5"/>
      <c r="C484" s="5"/>
      <c r="D484" s="5"/>
      <c r="E484" s="5"/>
    </row>
    <row r="485" spans="1:5" ht="15.75" customHeight="1">
      <c r="A485" s="5"/>
      <c r="B485" s="5"/>
      <c r="C485" s="5"/>
      <c r="D485" s="5"/>
      <c r="E485" s="5"/>
    </row>
    <row r="486" spans="1:5" ht="15.75" customHeight="1">
      <c r="A486" s="5"/>
      <c r="B486" s="5"/>
      <c r="C486" s="5"/>
      <c r="D486" s="5"/>
      <c r="E486" s="5"/>
    </row>
    <row r="487" spans="1:5" ht="15.75" customHeight="1">
      <c r="A487" s="5"/>
      <c r="B487" s="5"/>
      <c r="C487" s="5"/>
      <c r="D487" s="5"/>
      <c r="E487" s="5"/>
    </row>
    <row r="488" spans="1:5" ht="15.75" customHeight="1">
      <c r="A488" s="5"/>
      <c r="B488" s="5"/>
      <c r="C488" s="5"/>
      <c r="D488" s="5"/>
      <c r="E488" s="5"/>
    </row>
    <row r="489" spans="1:5" ht="15.75" customHeight="1">
      <c r="A489" s="5"/>
      <c r="B489" s="5"/>
      <c r="C489" s="5"/>
      <c r="D489" s="5"/>
      <c r="E489" s="5"/>
    </row>
    <row r="490" spans="1:5" ht="15.75" customHeight="1">
      <c r="A490" s="5"/>
      <c r="B490" s="5"/>
      <c r="C490" s="5"/>
      <c r="D490" s="5"/>
      <c r="E490" s="5"/>
    </row>
    <row r="491" spans="1:5" ht="15.75" customHeight="1">
      <c r="A491" s="5"/>
      <c r="B491" s="5"/>
      <c r="C491" s="5"/>
      <c r="D491" s="5"/>
      <c r="E491" s="5"/>
    </row>
    <row r="492" spans="1:5" ht="15.75" customHeight="1">
      <c r="A492" s="5"/>
      <c r="B492" s="5"/>
      <c r="C492" s="5"/>
      <c r="D492" s="5"/>
      <c r="E492" s="5"/>
    </row>
    <row r="493" spans="1:5" ht="15.75" customHeight="1">
      <c r="A493" s="5"/>
      <c r="B493" s="5"/>
      <c r="C493" s="5"/>
      <c r="D493" s="5"/>
      <c r="E493" s="5"/>
    </row>
    <row r="494" spans="1:5" ht="15.75" customHeight="1">
      <c r="A494" s="5"/>
      <c r="B494" s="5"/>
      <c r="C494" s="5"/>
      <c r="D494" s="5"/>
      <c r="E494" s="5"/>
    </row>
    <row r="495" spans="1:5" ht="15.75" customHeight="1">
      <c r="A495" s="5"/>
      <c r="B495" s="5"/>
      <c r="C495" s="5"/>
      <c r="D495" s="5"/>
      <c r="E495" s="5"/>
    </row>
    <row r="496" spans="1:5" ht="15.75" customHeight="1">
      <c r="A496" s="5"/>
      <c r="B496" s="5"/>
      <c r="C496" s="5"/>
      <c r="D496" s="5"/>
      <c r="E496" s="5"/>
    </row>
    <row r="497" spans="1:5" ht="15.75" customHeight="1">
      <c r="A497" s="5"/>
      <c r="B497" s="5"/>
      <c r="C497" s="5"/>
      <c r="D497" s="5"/>
      <c r="E497" s="5"/>
    </row>
    <row r="498" spans="1:5" ht="15.75" customHeight="1">
      <c r="A498" s="5"/>
      <c r="B498" s="5"/>
      <c r="C498" s="5"/>
      <c r="D498" s="5"/>
      <c r="E498" s="5"/>
    </row>
    <row r="499" spans="1:5" ht="15.75" customHeight="1">
      <c r="A499" s="5"/>
      <c r="B499" s="5"/>
      <c r="C499" s="5"/>
      <c r="D499" s="5"/>
      <c r="E499" s="5"/>
    </row>
    <row r="500" spans="1:5" ht="15.75" customHeight="1">
      <c r="A500" s="5"/>
      <c r="B500" s="5"/>
      <c r="C500" s="5"/>
      <c r="D500" s="5"/>
      <c r="E500" s="5"/>
    </row>
    <row r="501" spans="1:5" ht="15.75" customHeight="1">
      <c r="A501" s="5"/>
      <c r="B501" s="5"/>
      <c r="C501" s="5"/>
      <c r="D501" s="5"/>
      <c r="E501" s="5"/>
    </row>
    <row r="502" spans="1:5" ht="15.75" customHeight="1">
      <c r="A502" s="5"/>
      <c r="B502" s="5"/>
      <c r="C502" s="5"/>
      <c r="D502" s="5"/>
      <c r="E502" s="5"/>
    </row>
    <row r="503" spans="1:5" ht="15.75" customHeight="1">
      <c r="A503" s="5"/>
      <c r="B503" s="5"/>
      <c r="C503" s="5"/>
      <c r="D503" s="5"/>
      <c r="E503" s="5"/>
    </row>
    <row r="504" spans="1:5" ht="15.75" customHeight="1">
      <c r="A504" s="5"/>
      <c r="B504" s="5"/>
      <c r="C504" s="5"/>
      <c r="D504" s="5"/>
      <c r="E504" s="5"/>
    </row>
    <row r="505" spans="1:5" ht="15.75" customHeight="1">
      <c r="A505" s="5"/>
      <c r="B505" s="5"/>
      <c r="C505" s="5"/>
      <c r="D505" s="5"/>
      <c r="E505" s="5"/>
    </row>
    <row r="506" spans="1:5" ht="15.75" customHeight="1">
      <c r="A506" s="5"/>
      <c r="B506" s="5"/>
      <c r="C506" s="5"/>
      <c r="D506" s="5"/>
      <c r="E506" s="5"/>
    </row>
    <row r="507" spans="1:5" ht="15.75" customHeight="1">
      <c r="A507" s="5"/>
      <c r="B507" s="5"/>
      <c r="C507" s="5"/>
      <c r="D507" s="5"/>
      <c r="E507" s="5"/>
    </row>
    <row r="508" spans="1:5" ht="15.75" customHeight="1">
      <c r="A508" s="5"/>
      <c r="B508" s="5"/>
      <c r="C508" s="5"/>
      <c r="D508" s="5"/>
      <c r="E508" s="5"/>
    </row>
    <row r="509" spans="1:5" ht="15.75" customHeight="1">
      <c r="A509" s="5"/>
      <c r="B509" s="5"/>
      <c r="C509" s="5"/>
      <c r="D509" s="5"/>
      <c r="E509" s="5"/>
    </row>
    <row r="510" spans="1:5" ht="15.75" customHeight="1">
      <c r="A510" s="5"/>
      <c r="B510" s="5"/>
      <c r="C510" s="5"/>
      <c r="D510" s="5"/>
      <c r="E510" s="5"/>
    </row>
    <row r="511" spans="1:5" ht="15.75" customHeight="1">
      <c r="A511" s="5"/>
      <c r="B511" s="5"/>
      <c r="C511" s="5"/>
      <c r="D511" s="5"/>
      <c r="E511" s="5"/>
    </row>
    <row r="512" spans="1:5" ht="15.75" customHeight="1">
      <c r="A512" s="5"/>
      <c r="B512" s="5"/>
      <c r="C512" s="5"/>
      <c r="D512" s="5"/>
      <c r="E512" s="5"/>
    </row>
    <row r="513" spans="1:5" ht="15.75" customHeight="1">
      <c r="A513" s="5"/>
      <c r="B513" s="5"/>
      <c r="C513" s="5"/>
      <c r="D513" s="5"/>
      <c r="E513" s="5"/>
    </row>
    <row r="514" spans="1:5" ht="15.75" customHeight="1">
      <c r="A514" s="5"/>
      <c r="B514" s="5"/>
      <c r="C514" s="5"/>
      <c r="D514" s="5"/>
      <c r="E514" s="5"/>
    </row>
    <row r="515" spans="1:5" ht="15.75" customHeight="1">
      <c r="A515" s="5"/>
      <c r="B515" s="5"/>
      <c r="C515" s="5"/>
      <c r="D515" s="5"/>
      <c r="E515" s="5"/>
    </row>
    <row r="516" spans="1:5" ht="15.75" customHeight="1">
      <c r="A516" s="5"/>
      <c r="B516" s="5"/>
      <c r="C516" s="5"/>
      <c r="D516" s="5"/>
      <c r="E516" s="5"/>
    </row>
    <row r="517" spans="1:5" ht="15.75" customHeight="1">
      <c r="A517" s="5"/>
      <c r="B517" s="5"/>
      <c r="C517" s="5"/>
      <c r="D517" s="5"/>
      <c r="E517" s="5"/>
    </row>
    <row r="518" spans="1:5" ht="15.75" customHeight="1">
      <c r="A518" s="5"/>
      <c r="B518" s="5"/>
      <c r="C518" s="5"/>
      <c r="D518" s="5"/>
      <c r="E518" s="5"/>
    </row>
    <row r="519" spans="1:5" ht="15.75" customHeight="1">
      <c r="A519" s="5"/>
      <c r="B519" s="5"/>
      <c r="C519" s="5"/>
      <c r="D519" s="5"/>
      <c r="E519" s="5"/>
    </row>
    <row r="520" spans="1:5" ht="15.75" customHeight="1">
      <c r="A520" s="5"/>
      <c r="B520" s="5"/>
      <c r="C520" s="5"/>
      <c r="D520" s="5"/>
      <c r="E520" s="5"/>
    </row>
    <row r="521" spans="1:5" ht="15.75" customHeight="1">
      <c r="A521" s="5"/>
      <c r="B521" s="5"/>
      <c r="C521" s="5"/>
      <c r="D521" s="5"/>
      <c r="E521" s="5"/>
    </row>
    <row r="522" spans="1:5" ht="15.75" customHeight="1">
      <c r="A522" s="5"/>
      <c r="B522" s="5"/>
      <c r="C522" s="5"/>
      <c r="D522" s="5"/>
      <c r="E522" s="5"/>
    </row>
    <row r="523" spans="1:5" ht="15.75" customHeight="1">
      <c r="A523" s="5"/>
      <c r="B523" s="5"/>
      <c r="C523" s="5"/>
      <c r="D523" s="5"/>
      <c r="E523" s="5"/>
    </row>
    <row r="524" spans="1:5" ht="15.75" customHeight="1">
      <c r="A524" s="5"/>
      <c r="B524" s="5"/>
      <c r="C524" s="5"/>
      <c r="D524" s="5"/>
      <c r="E524" s="5"/>
    </row>
    <row r="525" spans="1:5" ht="15.75" customHeight="1">
      <c r="A525" s="5"/>
      <c r="B525" s="5"/>
      <c r="C525" s="5"/>
      <c r="D525" s="5"/>
      <c r="E525" s="5"/>
    </row>
    <row r="526" spans="1:5" ht="15.75" customHeight="1">
      <c r="A526" s="5"/>
      <c r="B526" s="5"/>
      <c r="C526" s="5"/>
      <c r="D526" s="5"/>
      <c r="E526" s="5"/>
    </row>
    <row r="527" spans="1:5" ht="15.75" customHeight="1">
      <c r="A527" s="5"/>
      <c r="B527" s="5"/>
      <c r="C527" s="5"/>
      <c r="D527" s="5"/>
      <c r="E527" s="5"/>
    </row>
    <row r="528" spans="1:5" ht="15.75" customHeight="1">
      <c r="A528" s="5"/>
      <c r="B528" s="5"/>
      <c r="C528" s="5"/>
      <c r="D528" s="5"/>
      <c r="E528" s="5"/>
    </row>
    <row r="529" spans="1:5" ht="15.75" customHeight="1">
      <c r="A529" s="5"/>
      <c r="B529" s="5"/>
      <c r="C529" s="5"/>
      <c r="D529" s="5"/>
      <c r="E529" s="5"/>
    </row>
    <row r="530" spans="1:5" ht="15.75" customHeight="1">
      <c r="A530" s="5"/>
      <c r="B530" s="5"/>
      <c r="C530" s="5"/>
      <c r="D530" s="5"/>
      <c r="E530" s="5"/>
    </row>
    <row r="531" spans="1:5" ht="15.75" customHeight="1">
      <c r="A531" s="5"/>
      <c r="B531" s="5"/>
      <c r="C531" s="5"/>
      <c r="D531" s="5"/>
      <c r="E531" s="5"/>
    </row>
    <row r="532" spans="1:5" ht="15.75" customHeight="1">
      <c r="A532" s="5"/>
      <c r="B532" s="5"/>
      <c r="C532" s="5"/>
      <c r="D532" s="5"/>
      <c r="E532" s="5"/>
    </row>
    <row r="533" spans="1:5" ht="15.75" customHeight="1">
      <c r="A533" s="5"/>
      <c r="B533" s="5"/>
      <c r="C533" s="5"/>
      <c r="D533" s="5"/>
      <c r="E533" s="5"/>
    </row>
    <row r="534" spans="1:5" ht="15.75" customHeight="1">
      <c r="A534" s="5"/>
      <c r="B534" s="5"/>
      <c r="C534" s="5"/>
      <c r="D534" s="5"/>
      <c r="E534" s="5"/>
    </row>
    <row r="535" spans="1:5" ht="15.75" customHeight="1">
      <c r="A535" s="5"/>
      <c r="B535" s="5"/>
      <c r="C535" s="5"/>
      <c r="D535" s="5"/>
      <c r="E535" s="5"/>
    </row>
    <row r="536" spans="1:5" ht="15.75" customHeight="1">
      <c r="A536" s="5"/>
      <c r="B536" s="5"/>
      <c r="C536" s="5"/>
      <c r="D536" s="5"/>
      <c r="E536" s="5"/>
    </row>
    <row r="537" spans="1:5" ht="15.75" customHeight="1">
      <c r="A537" s="5"/>
      <c r="B537" s="5"/>
      <c r="C537" s="5"/>
      <c r="D537" s="5"/>
      <c r="E537" s="5"/>
    </row>
    <row r="538" spans="1:5" ht="15.75" customHeight="1">
      <c r="A538" s="5"/>
      <c r="B538" s="5"/>
      <c r="C538" s="5"/>
      <c r="D538" s="5"/>
      <c r="E538" s="5"/>
    </row>
    <row r="539" spans="1:5" ht="15.75" customHeight="1">
      <c r="A539" s="5"/>
      <c r="B539" s="5"/>
      <c r="C539" s="5"/>
      <c r="D539" s="5"/>
      <c r="E539" s="5"/>
    </row>
    <row r="540" spans="1:5" ht="15.75" customHeight="1">
      <c r="A540" s="5"/>
      <c r="B540" s="5"/>
      <c r="C540" s="5"/>
      <c r="D540" s="5"/>
      <c r="E540" s="5"/>
    </row>
    <row r="541" spans="1:5" ht="15.75" customHeight="1">
      <c r="A541" s="5"/>
      <c r="B541" s="5"/>
      <c r="C541" s="5"/>
      <c r="D541" s="5"/>
      <c r="E541" s="5"/>
    </row>
    <row r="542" spans="1:5" ht="15.75" customHeight="1">
      <c r="A542" s="5"/>
      <c r="B542" s="5"/>
      <c r="C542" s="5"/>
      <c r="D542" s="5"/>
      <c r="E542" s="5"/>
    </row>
    <row r="543" spans="1:5" ht="15.75" customHeight="1">
      <c r="A543" s="5"/>
      <c r="B543" s="5"/>
      <c r="C543" s="5"/>
      <c r="D543" s="5"/>
      <c r="E543" s="5"/>
    </row>
    <row r="544" spans="1:5" ht="15.75" customHeight="1">
      <c r="A544" s="5"/>
      <c r="B544" s="5"/>
      <c r="C544" s="5"/>
      <c r="D544" s="5"/>
      <c r="E544" s="5"/>
    </row>
    <row r="545" spans="1:5" ht="15.75" customHeight="1">
      <c r="A545" s="5"/>
      <c r="B545" s="5"/>
      <c r="C545" s="5"/>
      <c r="D545" s="5"/>
      <c r="E545" s="5"/>
    </row>
    <row r="546" spans="1:5" ht="15.75" customHeight="1">
      <c r="A546" s="5"/>
      <c r="B546" s="5"/>
      <c r="C546" s="5"/>
      <c r="D546" s="5"/>
      <c r="E546" s="5"/>
    </row>
    <row r="547" spans="1:5" ht="15.75" customHeight="1">
      <c r="A547" s="5"/>
      <c r="B547" s="5"/>
      <c r="C547" s="5"/>
      <c r="D547" s="5"/>
      <c r="E547" s="5"/>
    </row>
    <row r="548" spans="1:5" ht="15.75" customHeight="1">
      <c r="A548" s="5"/>
      <c r="B548" s="5"/>
      <c r="C548" s="5"/>
      <c r="D548" s="5"/>
      <c r="E548" s="5"/>
    </row>
    <row r="549" spans="1:5" ht="15.75" customHeight="1">
      <c r="A549" s="5"/>
      <c r="B549" s="5"/>
      <c r="C549" s="5"/>
      <c r="D549" s="5"/>
      <c r="E549" s="5"/>
    </row>
    <row r="550" spans="1:5" ht="15.75" customHeight="1">
      <c r="A550" s="5"/>
      <c r="B550" s="5"/>
      <c r="C550" s="5"/>
      <c r="D550" s="5"/>
      <c r="E550" s="5"/>
    </row>
    <row r="551" spans="1:5" ht="15.75" customHeight="1">
      <c r="A551" s="5"/>
      <c r="B551" s="5"/>
      <c r="C551" s="5"/>
      <c r="D551" s="5"/>
      <c r="E551" s="5"/>
    </row>
    <row r="552" spans="1:5" ht="15.75" customHeight="1">
      <c r="A552" s="5"/>
      <c r="B552" s="5"/>
      <c r="C552" s="5"/>
      <c r="D552" s="5"/>
      <c r="E552" s="5"/>
    </row>
    <row r="553" spans="1:5" ht="15.75" customHeight="1">
      <c r="A553" s="5"/>
      <c r="B553" s="5"/>
      <c r="C553" s="5"/>
      <c r="D553" s="5"/>
      <c r="E553" s="5"/>
    </row>
    <row r="554" spans="1:5" ht="15.75" customHeight="1">
      <c r="A554" s="5"/>
      <c r="B554" s="5"/>
      <c r="C554" s="5"/>
      <c r="D554" s="5"/>
      <c r="E554" s="5"/>
    </row>
    <row r="555" spans="1:5" ht="15.75" customHeight="1">
      <c r="A555" s="5"/>
      <c r="B555" s="5"/>
      <c r="C555" s="5"/>
      <c r="D555" s="5"/>
      <c r="E555" s="5"/>
    </row>
    <row r="556" spans="1:5" ht="15.75" customHeight="1">
      <c r="A556" s="5"/>
      <c r="B556" s="5"/>
      <c r="C556" s="5"/>
      <c r="D556" s="5"/>
      <c r="E556" s="5"/>
    </row>
    <row r="557" spans="1:5" ht="15.75" customHeight="1">
      <c r="A557" s="5"/>
      <c r="B557" s="5"/>
      <c r="C557" s="5"/>
      <c r="D557" s="5"/>
      <c r="E557" s="5"/>
    </row>
    <row r="558" spans="1:5" ht="15.75" customHeight="1">
      <c r="A558" s="5"/>
      <c r="B558" s="5"/>
      <c r="C558" s="5"/>
      <c r="D558" s="5"/>
      <c r="E558" s="5"/>
    </row>
    <row r="559" spans="1:5" ht="15.75" customHeight="1">
      <c r="A559" s="5"/>
      <c r="B559" s="5"/>
      <c r="C559" s="5"/>
      <c r="D559" s="5"/>
      <c r="E559" s="5"/>
    </row>
    <row r="560" spans="1:5" ht="15.75" customHeight="1">
      <c r="A560" s="5"/>
      <c r="B560" s="5"/>
      <c r="C560" s="5"/>
      <c r="D560" s="5"/>
      <c r="E560" s="5"/>
    </row>
    <row r="561" spans="1:5" ht="15.75" customHeight="1">
      <c r="A561" s="5"/>
      <c r="B561" s="5"/>
      <c r="C561" s="5"/>
      <c r="D561" s="5"/>
      <c r="E561" s="5"/>
    </row>
    <row r="562" spans="1:5" ht="15.75" customHeight="1">
      <c r="A562" s="5"/>
      <c r="B562" s="5"/>
      <c r="C562" s="5"/>
      <c r="D562" s="5"/>
      <c r="E562" s="5"/>
    </row>
    <row r="563" spans="1:5" ht="15.75" customHeight="1">
      <c r="A563" s="5"/>
      <c r="B563" s="5"/>
      <c r="C563" s="5"/>
      <c r="D563" s="5"/>
      <c r="E563" s="5"/>
    </row>
    <row r="564" spans="1:5" ht="15.75" customHeight="1">
      <c r="A564" s="5"/>
      <c r="B564" s="5"/>
      <c r="C564" s="5"/>
      <c r="D564" s="5"/>
      <c r="E564" s="5"/>
    </row>
    <row r="565" spans="1:5" ht="15.75" customHeight="1">
      <c r="A565" s="5"/>
      <c r="B565" s="5"/>
      <c r="C565" s="5"/>
      <c r="D565" s="5"/>
      <c r="E565" s="5"/>
    </row>
    <row r="566" spans="1:5" ht="15.75" customHeight="1">
      <c r="A566" s="5"/>
      <c r="B566" s="5"/>
      <c r="C566" s="5"/>
      <c r="D566" s="5"/>
      <c r="E566" s="5"/>
    </row>
    <row r="567" spans="1:5" ht="15.75" customHeight="1">
      <c r="A567" s="5"/>
      <c r="B567" s="5"/>
      <c r="C567" s="5"/>
      <c r="D567" s="5"/>
      <c r="E567" s="5"/>
    </row>
    <row r="568" spans="1:5" ht="15.75" customHeight="1">
      <c r="A568" s="5"/>
      <c r="B568" s="5"/>
      <c r="C568" s="5"/>
      <c r="D568" s="5"/>
      <c r="E568" s="5"/>
    </row>
    <row r="569" spans="1:5" ht="15.75" customHeight="1">
      <c r="A569" s="5"/>
      <c r="B569" s="5"/>
      <c r="C569" s="5"/>
      <c r="D569" s="5"/>
      <c r="E569" s="5"/>
    </row>
    <row r="570" spans="1:5" ht="15.75" customHeight="1">
      <c r="A570" s="5"/>
      <c r="B570" s="5"/>
      <c r="C570" s="5"/>
      <c r="D570" s="5"/>
      <c r="E570" s="5"/>
    </row>
    <row r="571" spans="1:5" ht="15.75" customHeight="1">
      <c r="A571" s="5"/>
      <c r="B571" s="5"/>
      <c r="C571" s="5"/>
      <c r="D571" s="5"/>
      <c r="E571" s="5"/>
    </row>
    <row r="572" spans="1:5" ht="15.75" customHeight="1">
      <c r="A572" s="5"/>
      <c r="B572" s="5"/>
      <c r="C572" s="5"/>
      <c r="D572" s="5"/>
      <c r="E572" s="5"/>
    </row>
    <row r="573" spans="1:5" ht="15.75" customHeight="1">
      <c r="A573" s="5"/>
      <c r="B573" s="5"/>
      <c r="C573" s="5"/>
      <c r="D573" s="5"/>
      <c r="E573" s="5"/>
    </row>
    <row r="574" spans="1:5" ht="15.75" customHeight="1">
      <c r="A574" s="5"/>
      <c r="B574" s="5"/>
      <c r="C574" s="5"/>
      <c r="D574" s="5"/>
      <c r="E574" s="5"/>
    </row>
    <row r="575" spans="1:5" ht="15.75" customHeight="1">
      <c r="A575" s="5"/>
      <c r="B575" s="5"/>
      <c r="C575" s="5"/>
      <c r="D575" s="5"/>
      <c r="E575" s="5"/>
    </row>
    <row r="576" spans="1:5" ht="15.75" customHeight="1">
      <c r="A576" s="5"/>
      <c r="B576" s="5"/>
      <c r="C576" s="5"/>
      <c r="D576" s="5"/>
      <c r="E576" s="5"/>
    </row>
    <row r="577" spans="1:5" ht="15.75" customHeight="1">
      <c r="A577" s="5"/>
      <c r="B577" s="5"/>
      <c r="C577" s="5"/>
      <c r="D577" s="5"/>
      <c r="E577" s="5"/>
    </row>
    <row r="578" spans="1:5" ht="15.75" customHeight="1">
      <c r="A578" s="5"/>
      <c r="B578" s="5"/>
      <c r="C578" s="5"/>
      <c r="D578" s="5"/>
      <c r="E578" s="5"/>
    </row>
    <row r="579" spans="1:5" ht="15.75" customHeight="1">
      <c r="A579" s="5"/>
      <c r="B579" s="5"/>
      <c r="C579" s="5"/>
      <c r="D579" s="5"/>
      <c r="E579" s="5"/>
    </row>
    <row r="580" spans="1:5" ht="15.75" customHeight="1">
      <c r="A580" s="5"/>
      <c r="B580" s="5"/>
      <c r="C580" s="5"/>
      <c r="D580" s="5"/>
      <c r="E580" s="5"/>
    </row>
    <row r="581" spans="1:5" ht="15.75" customHeight="1">
      <c r="A581" s="5"/>
      <c r="B581" s="5"/>
      <c r="C581" s="5"/>
      <c r="D581" s="5"/>
      <c r="E581" s="5"/>
    </row>
    <row r="582" spans="1:5" ht="15.75" customHeight="1">
      <c r="A582" s="5"/>
      <c r="B582" s="5"/>
      <c r="C582" s="5"/>
      <c r="D582" s="5"/>
      <c r="E582" s="5"/>
    </row>
    <row r="583" spans="1:5" ht="15.75" customHeight="1">
      <c r="A583" s="5"/>
      <c r="B583" s="5"/>
      <c r="C583" s="5"/>
      <c r="D583" s="5"/>
      <c r="E583" s="5"/>
    </row>
    <row r="584" spans="1:5" ht="15.75" customHeight="1">
      <c r="A584" s="5"/>
      <c r="B584" s="5"/>
      <c r="C584" s="5"/>
      <c r="D584" s="5"/>
      <c r="E584" s="5"/>
    </row>
    <row r="585" spans="1:5" ht="15.75" customHeight="1">
      <c r="A585" s="5"/>
      <c r="B585" s="5"/>
      <c r="C585" s="5"/>
      <c r="D585" s="5"/>
      <c r="E585" s="5"/>
    </row>
    <row r="586" spans="1:5" ht="15.75" customHeight="1">
      <c r="A586" s="5"/>
      <c r="B586" s="5"/>
      <c r="C586" s="5"/>
      <c r="D586" s="5"/>
      <c r="E586" s="5"/>
    </row>
    <row r="587" spans="1:5" ht="15.75" customHeight="1">
      <c r="A587" s="5"/>
      <c r="B587" s="5"/>
      <c r="C587" s="5"/>
      <c r="D587" s="5"/>
      <c r="E587" s="5"/>
    </row>
    <row r="588" spans="1:5" ht="15.75" customHeight="1">
      <c r="A588" s="5"/>
      <c r="B588" s="5"/>
      <c r="C588" s="5"/>
      <c r="D588" s="5"/>
      <c r="E588" s="5"/>
    </row>
    <row r="589" spans="1:5" ht="15.75" customHeight="1">
      <c r="A589" s="5"/>
      <c r="B589" s="5"/>
      <c r="C589" s="5"/>
      <c r="D589" s="5"/>
      <c r="E589" s="5"/>
    </row>
    <row r="590" spans="1:5" ht="15.75" customHeight="1">
      <c r="A590" s="5"/>
      <c r="B590" s="5"/>
      <c r="C590" s="5"/>
      <c r="D590" s="5"/>
      <c r="E590" s="5"/>
    </row>
    <row r="591" spans="1:5" ht="15.75" customHeight="1">
      <c r="A591" s="5"/>
      <c r="B591" s="5"/>
      <c r="C591" s="5"/>
      <c r="D591" s="5"/>
      <c r="E591" s="5"/>
    </row>
    <row r="592" spans="1:5" ht="15.75" customHeight="1">
      <c r="A592" s="5"/>
      <c r="B592" s="5"/>
      <c r="C592" s="5"/>
      <c r="D592" s="5"/>
      <c r="E592" s="5"/>
    </row>
    <row r="593" spans="1:5" ht="15.75" customHeight="1">
      <c r="A593" s="5"/>
      <c r="B593" s="5"/>
      <c r="C593" s="5"/>
      <c r="D593" s="5"/>
      <c r="E593" s="5"/>
    </row>
    <row r="594" spans="1:5" ht="15.75" customHeight="1">
      <c r="A594" s="5"/>
      <c r="B594" s="5"/>
      <c r="C594" s="5"/>
      <c r="D594" s="5"/>
      <c r="E594" s="5"/>
    </row>
    <row r="595" spans="1:5" ht="15.75" customHeight="1">
      <c r="A595" s="5"/>
      <c r="B595" s="5"/>
      <c r="C595" s="5"/>
      <c r="D595" s="5"/>
      <c r="E595" s="5"/>
    </row>
    <row r="596" spans="1:5" ht="15.75" customHeight="1">
      <c r="A596" s="5"/>
      <c r="B596" s="5"/>
      <c r="C596" s="5"/>
      <c r="D596" s="5"/>
      <c r="E596" s="5"/>
    </row>
    <row r="597" spans="1:5" ht="15.75" customHeight="1">
      <c r="A597" s="5"/>
      <c r="B597" s="5"/>
      <c r="C597" s="5"/>
      <c r="D597" s="5"/>
      <c r="E597" s="5"/>
    </row>
    <row r="598" spans="1:5" ht="15.75" customHeight="1">
      <c r="A598" s="5"/>
      <c r="B598" s="5"/>
      <c r="C598" s="5"/>
      <c r="D598" s="5"/>
      <c r="E598" s="5"/>
    </row>
    <row r="599" spans="1:5" ht="15.75" customHeight="1">
      <c r="A599" s="5"/>
      <c r="B599" s="5"/>
      <c r="C599" s="5"/>
      <c r="D599" s="5"/>
      <c r="E599" s="5"/>
    </row>
    <row r="600" spans="1:5" ht="15.75" customHeight="1">
      <c r="A600" s="5"/>
      <c r="B600" s="5"/>
      <c r="C600" s="5"/>
      <c r="D600" s="5"/>
      <c r="E600" s="5"/>
    </row>
    <row r="601" spans="1:5" ht="15.75" customHeight="1">
      <c r="A601" s="5"/>
      <c r="B601" s="5"/>
      <c r="C601" s="5"/>
      <c r="D601" s="5"/>
      <c r="E601" s="5"/>
    </row>
    <row r="602" spans="1:5" ht="15.75" customHeight="1">
      <c r="A602" s="5"/>
      <c r="B602" s="5"/>
      <c r="C602" s="5"/>
      <c r="D602" s="5"/>
      <c r="E602" s="5"/>
    </row>
    <row r="603" spans="1:5" ht="15.75" customHeight="1">
      <c r="A603" s="5"/>
      <c r="B603" s="5"/>
      <c r="C603" s="5"/>
      <c r="D603" s="5"/>
      <c r="E603" s="5"/>
    </row>
    <row r="604" spans="1:5" ht="15.75" customHeight="1">
      <c r="A604" s="5"/>
      <c r="B604" s="5"/>
      <c r="C604" s="5"/>
      <c r="D604" s="5"/>
      <c r="E604" s="5"/>
    </row>
    <row r="605" spans="1:5" ht="15.75" customHeight="1">
      <c r="A605" s="5"/>
      <c r="B605" s="5"/>
      <c r="C605" s="5"/>
      <c r="D605" s="5"/>
      <c r="E605" s="5"/>
    </row>
    <row r="606" spans="1:5" ht="15.75" customHeight="1">
      <c r="A606" s="5"/>
      <c r="B606" s="5"/>
      <c r="C606" s="5"/>
      <c r="D606" s="5"/>
      <c r="E606" s="5"/>
    </row>
    <row r="607" spans="1:5" ht="15.75" customHeight="1">
      <c r="A607" s="5"/>
      <c r="B607" s="5"/>
      <c r="C607" s="5"/>
      <c r="D607" s="5"/>
      <c r="E607" s="5"/>
    </row>
    <row r="608" spans="1:5" ht="15.75" customHeight="1">
      <c r="A608" s="5"/>
      <c r="B608" s="5"/>
      <c r="C608" s="5"/>
      <c r="D608" s="5"/>
      <c r="E608" s="5"/>
    </row>
    <row r="609" spans="1:5" ht="15.75" customHeight="1">
      <c r="A609" s="5"/>
      <c r="B609" s="5"/>
      <c r="C609" s="5"/>
      <c r="D609" s="5"/>
      <c r="E609" s="5"/>
    </row>
    <row r="610" spans="1:5" ht="15.75" customHeight="1">
      <c r="A610" s="5"/>
      <c r="B610" s="5"/>
      <c r="C610" s="5"/>
      <c r="D610" s="5"/>
      <c r="E610" s="5"/>
    </row>
    <row r="611" spans="1:5" ht="15.75" customHeight="1">
      <c r="A611" s="5"/>
      <c r="B611" s="5"/>
      <c r="C611" s="5"/>
      <c r="D611" s="5"/>
      <c r="E611" s="5"/>
    </row>
    <row r="612" spans="1:5" ht="15.75" customHeight="1">
      <c r="A612" s="5"/>
      <c r="B612" s="5"/>
      <c r="C612" s="5"/>
      <c r="D612" s="5"/>
      <c r="E612" s="5"/>
    </row>
    <row r="613" spans="1:5" ht="15.75" customHeight="1">
      <c r="A613" s="5"/>
      <c r="B613" s="5"/>
      <c r="C613" s="5"/>
      <c r="D613" s="5"/>
      <c r="E613" s="5"/>
    </row>
    <row r="614" spans="1:5" ht="15.75" customHeight="1">
      <c r="A614" s="5"/>
      <c r="B614" s="5"/>
      <c r="C614" s="5"/>
      <c r="D614" s="5"/>
      <c r="E614" s="5"/>
    </row>
    <row r="615" spans="1:5" ht="15.75" customHeight="1">
      <c r="A615" s="5"/>
      <c r="B615" s="5"/>
      <c r="C615" s="5"/>
      <c r="D615" s="5"/>
      <c r="E615" s="5"/>
    </row>
    <row r="616" spans="1:5" ht="15.75" customHeight="1">
      <c r="A616" s="5"/>
      <c r="B616" s="5"/>
      <c r="C616" s="5"/>
      <c r="D616" s="5"/>
      <c r="E616" s="5"/>
    </row>
    <row r="617" spans="1:5" ht="15.75" customHeight="1">
      <c r="A617" s="5"/>
      <c r="B617" s="5"/>
      <c r="C617" s="5"/>
      <c r="D617" s="5"/>
      <c r="E617" s="5"/>
    </row>
    <row r="618" spans="1:5" ht="15.75" customHeight="1">
      <c r="A618" s="5"/>
      <c r="B618" s="5"/>
      <c r="C618" s="5"/>
      <c r="D618" s="5"/>
      <c r="E618" s="5"/>
    </row>
    <row r="619" spans="1:5" ht="15.75" customHeight="1">
      <c r="A619" s="5"/>
      <c r="B619" s="5"/>
      <c r="C619" s="5"/>
      <c r="D619" s="5"/>
      <c r="E619" s="5"/>
    </row>
    <row r="620" spans="1:5" ht="15.75" customHeight="1">
      <c r="A620" s="5"/>
      <c r="B620" s="5"/>
      <c r="C620" s="5"/>
      <c r="D620" s="5"/>
      <c r="E620" s="5"/>
    </row>
    <row r="621" spans="1:5" ht="15.75" customHeight="1">
      <c r="A621" s="5"/>
      <c r="B621" s="5"/>
      <c r="C621" s="5"/>
      <c r="D621" s="5"/>
      <c r="E621" s="5"/>
    </row>
    <row r="622" spans="1:5" ht="15.75" customHeight="1">
      <c r="A622" s="5"/>
      <c r="B622" s="5"/>
      <c r="C622" s="5"/>
      <c r="D622" s="5"/>
      <c r="E622" s="5"/>
    </row>
    <row r="623" spans="1:5" ht="15.75" customHeight="1">
      <c r="A623" s="5"/>
      <c r="B623" s="5"/>
      <c r="C623" s="5"/>
      <c r="D623" s="5"/>
      <c r="E623" s="5"/>
    </row>
    <row r="624" spans="1:5" ht="15.75" customHeight="1">
      <c r="A624" s="5"/>
      <c r="B624" s="5"/>
      <c r="C624" s="5"/>
      <c r="D624" s="5"/>
      <c r="E624" s="5"/>
    </row>
    <row r="625" spans="1:5" ht="15.75" customHeight="1">
      <c r="A625" s="5"/>
      <c r="B625" s="5"/>
      <c r="C625" s="5"/>
      <c r="D625" s="5"/>
      <c r="E625" s="5"/>
    </row>
    <row r="626" spans="1:5" ht="15.75" customHeight="1">
      <c r="A626" s="5"/>
      <c r="B626" s="5"/>
      <c r="C626" s="5"/>
      <c r="D626" s="5"/>
      <c r="E626" s="5"/>
    </row>
    <row r="627" spans="1:5" ht="15.75" customHeight="1">
      <c r="A627" s="5"/>
      <c r="B627" s="5"/>
      <c r="C627" s="5"/>
      <c r="D627" s="5"/>
      <c r="E627" s="5"/>
    </row>
    <row r="628" spans="1:5" ht="15.75" customHeight="1">
      <c r="A628" s="5"/>
      <c r="B628" s="5"/>
      <c r="C628" s="5"/>
      <c r="D628" s="5"/>
      <c r="E628" s="5"/>
    </row>
    <row r="629" spans="1:5" ht="15.75" customHeight="1">
      <c r="A629" s="5"/>
      <c r="B629" s="5"/>
      <c r="C629" s="5"/>
      <c r="D629" s="5"/>
      <c r="E629" s="5"/>
    </row>
    <row r="630" spans="1:5" ht="15.75" customHeight="1">
      <c r="A630" s="5"/>
      <c r="B630" s="5"/>
      <c r="C630" s="5"/>
      <c r="D630" s="5"/>
      <c r="E630" s="5"/>
    </row>
    <row r="631" spans="1:5" ht="15.75" customHeight="1">
      <c r="A631" s="5"/>
      <c r="B631" s="5"/>
      <c r="C631" s="5"/>
      <c r="D631" s="5"/>
      <c r="E631" s="5"/>
    </row>
    <row r="632" spans="1:5" ht="15.75" customHeight="1">
      <c r="A632" s="5"/>
      <c r="B632" s="5"/>
      <c r="C632" s="5"/>
      <c r="D632" s="5"/>
      <c r="E632" s="5"/>
    </row>
    <row r="633" spans="1:5" ht="15.75" customHeight="1">
      <c r="A633" s="5"/>
      <c r="B633" s="5"/>
      <c r="C633" s="5"/>
      <c r="D633" s="5"/>
      <c r="E633" s="5"/>
    </row>
    <row r="634" spans="1:5" ht="15.75" customHeight="1">
      <c r="A634" s="5"/>
      <c r="B634" s="5"/>
      <c r="C634" s="5"/>
      <c r="D634" s="5"/>
      <c r="E634" s="5"/>
    </row>
    <row r="635" spans="1:5" ht="15.75" customHeight="1">
      <c r="A635" s="5"/>
      <c r="B635" s="5"/>
      <c r="C635" s="5"/>
      <c r="D635" s="5"/>
      <c r="E635" s="5"/>
    </row>
    <row r="636" spans="1:5" ht="15.75" customHeight="1">
      <c r="A636" s="5"/>
      <c r="B636" s="5"/>
      <c r="C636" s="5"/>
      <c r="D636" s="5"/>
      <c r="E636" s="5"/>
    </row>
    <row r="637" spans="1:5" ht="15.75" customHeight="1">
      <c r="A637" s="5"/>
      <c r="B637" s="5"/>
      <c r="C637" s="5"/>
      <c r="D637" s="5"/>
      <c r="E637" s="5"/>
    </row>
    <row r="638" spans="1:5" ht="15.75" customHeight="1">
      <c r="A638" s="5"/>
      <c r="B638" s="5"/>
      <c r="C638" s="5"/>
      <c r="D638" s="5"/>
      <c r="E638" s="5"/>
    </row>
    <row r="639" spans="1:5" ht="15.75" customHeight="1">
      <c r="A639" s="5"/>
      <c r="B639" s="5"/>
      <c r="C639" s="5"/>
      <c r="D639" s="5"/>
      <c r="E639" s="5"/>
    </row>
    <row r="640" spans="1:5" ht="15.75" customHeight="1">
      <c r="A640" s="5"/>
      <c r="B640" s="5"/>
      <c r="C640" s="5"/>
      <c r="D640" s="5"/>
      <c r="E640" s="5"/>
    </row>
    <row r="641" spans="1:5" ht="15.75" customHeight="1">
      <c r="A641" s="5"/>
      <c r="B641" s="5"/>
      <c r="C641" s="5"/>
      <c r="D641" s="5"/>
      <c r="E641" s="5"/>
    </row>
    <row r="642" spans="1:5" ht="15.75" customHeight="1">
      <c r="A642" s="5"/>
      <c r="B642" s="5"/>
      <c r="C642" s="5"/>
      <c r="D642" s="5"/>
      <c r="E642" s="5"/>
    </row>
    <row r="643" spans="1:5" ht="15.75" customHeight="1">
      <c r="A643" s="5"/>
      <c r="B643" s="5"/>
      <c r="C643" s="5"/>
      <c r="D643" s="5"/>
      <c r="E643" s="5"/>
    </row>
    <row r="644" spans="1:5" ht="15.75" customHeight="1">
      <c r="A644" s="5"/>
      <c r="B644" s="5"/>
      <c r="C644" s="5"/>
      <c r="D644" s="5"/>
      <c r="E644" s="5"/>
    </row>
    <row r="645" spans="1:5" ht="15.75" customHeight="1">
      <c r="A645" s="5"/>
      <c r="B645" s="5"/>
      <c r="C645" s="5"/>
      <c r="D645" s="5"/>
      <c r="E645" s="5"/>
    </row>
    <row r="646" spans="1:5" ht="15.75" customHeight="1">
      <c r="A646" s="5"/>
      <c r="B646" s="5"/>
      <c r="C646" s="5"/>
      <c r="D646" s="5"/>
      <c r="E646" s="5"/>
    </row>
    <row r="647" spans="1:5" ht="15.75" customHeight="1">
      <c r="A647" s="5"/>
      <c r="B647" s="5"/>
      <c r="C647" s="5"/>
      <c r="D647" s="5"/>
      <c r="E647" s="5"/>
    </row>
    <row r="648" spans="1:5" ht="15.75" customHeight="1">
      <c r="A648" s="5"/>
      <c r="B648" s="5"/>
      <c r="C648" s="5"/>
      <c r="D648" s="5"/>
      <c r="E648" s="5"/>
    </row>
    <row r="649" spans="1:5" ht="15.75" customHeight="1">
      <c r="A649" s="5"/>
      <c r="B649" s="5"/>
      <c r="C649" s="5"/>
      <c r="D649" s="5"/>
      <c r="E649" s="5"/>
    </row>
    <row r="650" spans="1:5" ht="15.75" customHeight="1">
      <c r="A650" s="5"/>
      <c r="B650" s="5"/>
      <c r="C650" s="5"/>
      <c r="D650" s="5"/>
      <c r="E650" s="5"/>
    </row>
    <row r="651" spans="1:5" ht="15.75" customHeight="1">
      <c r="A651" s="5"/>
      <c r="B651" s="5"/>
      <c r="C651" s="5"/>
      <c r="D651" s="5"/>
      <c r="E651" s="5"/>
    </row>
    <row r="652" spans="1:5" ht="15.75" customHeight="1">
      <c r="A652" s="5"/>
      <c r="B652" s="5"/>
      <c r="C652" s="5"/>
      <c r="D652" s="5"/>
      <c r="E652" s="5"/>
    </row>
    <row r="653" spans="1:5" ht="15.75" customHeight="1">
      <c r="A653" s="5"/>
      <c r="B653" s="5"/>
      <c r="C653" s="5"/>
      <c r="D653" s="5"/>
      <c r="E653" s="5"/>
    </row>
    <row r="654" spans="1:5" ht="15.75" customHeight="1">
      <c r="A654" s="5"/>
      <c r="B654" s="5"/>
      <c r="C654" s="5"/>
      <c r="D654" s="5"/>
      <c r="E654" s="5"/>
    </row>
    <row r="655" spans="1:5" ht="15.75" customHeight="1">
      <c r="A655" s="5"/>
      <c r="B655" s="5"/>
      <c r="C655" s="5"/>
      <c r="D655" s="5"/>
      <c r="E655" s="5"/>
    </row>
    <row r="656" spans="1:5" ht="15.75" customHeight="1">
      <c r="A656" s="5"/>
      <c r="B656" s="5"/>
      <c r="C656" s="5"/>
      <c r="D656" s="5"/>
      <c r="E656" s="5"/>
    </row>
    <row r="657" spans="1:5" ht="15.75" customHeight="1">
      <c r="A657" s="5"/>
      <c r="B657" s="5"/>
      <c r="C657" s="5"/>
      <c r="D657" s="5"/>
      <c r="E657" s="5"/>
    </row>
    <row r="658" spans="1:5" ht="15.75" customHeight="1">
      <c r="A658" s="5"/>
      <c r="B658" s="5"/>
      <c r="C658" s="5"/>
      <c r="D658" s="5"/>
      <c r="E658" s="5"/>
    </row>
    <row r="659" spans="1:5" ht="15.75" customHeight="1">
      <c r="A659" s="5"/>
      <c r="B659" s="5"/>
      <c r="C659" s="5"/>
      <c r="D659" s="5"/>
      <c r="E659" s="5"/>
    </row>
    <row r="660" spans="1:5" ht="15.75" customHeight="1">
      <c r="A660" s="5"/>
      <c r="B660" s="5"/>
      <c r="C660" s="5"/>
      <c r="D660" s="5"/>
      <c r="E660" s="5"/>
    </row>
    <row r="661" spans="1:5" ht="15.75" customHeight="1">
      <c r="A661" s="5"/>
      <c r="B661" s="5"/>
      <c r="C661" s="5"/>
      <c r="D661" s="5"/>
      <c r="E661" s="5"/>
    </row>
    <row r="662" spans="1:5" ht="15.75" customHeight="1">
      <c r="A662" s="5"/>
      <c r="B662" s="5"/>
      <c r="C662" s="5"/>
      <c r="D662" s="5"/>
      <c r="E662" s="5"/>
    </row>
    <row r="663" spans="1:5" ht="15.75" customHeight="1">
      <c r="A663" s="5"/>
      <c r="B663" s="5"/>
      <c r="C663" s="5"/>
      <c r="D663" s="5"/>
      <c r="E663" s="5"/>
    </row>
    <row r="664" spans="1:5" ht="15.75" customHeight="1">
      <c r="A664" s="5"/>
      <c r="B664" s="5"/>
      <c r="C664" s="5"/>
      <c r="D664" s="5"/>
      <c r="E664" s="5"/>
    </row>
    <row r="665" spans="1:5" ht="15.75" customHeight="1">
      <c r="A665" s="5"/>
      <c r="B665" s="5"/>
      <c r="C665" s="5"/>
      <c r="D665" s="5"/>
      <c r="E665" s="5"/>
    </row>
    <row r="666" spans="1:5" ht="15.75" customHeight="1">
      <c r="A666" s="5"/>
      <c r="B666" s="5"/>
      <c r="C666" s="5"/>
      <c r="D666" s="5"/>
      <c r="E666" s="5"/>
    </row>
    <row r="667" spans="1:5" ht="15.75" customHeight="1">
      <c r="A667" s="5"/>
      <c r="B667" s="5"/>
      <c r="C667" s="5"/>
      <c r="D667" s="5"/>
      <c r="E667" s="5"/>
    </row>
    <row r="668" spans="1:5" ht="15.75" customHeight="1">
      <c r="A668" s="5"/>
      <c r="B668" s="5"/>
      <c r="C668" s="5"/>
      <c r="D668" s="5"/>
      <c r="E668" s="5"/>
    </row>
    <row r="669" spans="1:5" ht="15.75" customHeight="1">
      <c r="A669" s="5"/>
      <c r="B669" s="5"/>
      <c r="C669" s="5"/>
      <c r="D669" s="5"/>
      <c r="E669" s="5"/>
    </row>
    <row r="670" spans="1:5" ht="15.75" customHeight="1">
      <c r="A670" s="5"/>
      <c r="B670" s="5"/>
      <c r="C670" s="5"/>
      <c r="D670" s="5"/>
      <c r="E670" s="5"/>
    </row>
    <row r="671" spans="1:5" ht="15.75" customHeight="1">
      <c r="A671" s="5"/>
      <c r="B671" s="5"/>
      <c r="C671" s="5"/>
      <c r="D671" s="5"/>
      <c r="E671" s="5"/>
    </row>
    <row r="672" spans="1:5" ht="15.75" customHeight="1">
      <c r="A672" s="5"/>
      <c r="B672" s="5"/>
      <c r="C672" s="5"/>
      <c r="D672" s="5"/>
      <c r="E672" s="5"/>
    </row>
    <row r="673" spans="1:5" ht="15.75" customHeight="1">
      <c r="A673" s="5"/>
      <c r="B673" s="5"/>
      <c r="C673" s="5"/>
      <c r="D673" s="5"/>
      <c r="E673" s="5"/>
    </row>
    <row r="674" spans="1:5" ht="15.75" customHeight="1">
      <c r="A674" s="5"/>
      <c r="B674" s="5"/>
      <c r="C674" s="5"/>
      <c r="D674" s="5"/>
      <c r="E674" s="5"/>
    </row>
    <row r="675" spans="1:5" ht="15.75" customHeight="1">
      <c r="A675" s="5"/>
      <c r="B675" s="5"/>
      <c r="C675" s="5"/>
      <c r="D675" s="5"/>
      <c r="E675" s="5"/>
    </row>
    <row r="676" spans="1:5" ht="15.75" customHeight="1">
      <c r="A676" s="5"/>
      <c r="B676" s="5"/>
      <c r="C676" s="5"/>
      <c r="D676" s="5"/>
      <c r="E676" s="5"/>
    </row>
    <row r="677" spans="1:5" ht="15.75" customHeight="1">
      <c r="A677" s="5"/>
      <c r="B677" s="5"/>
      <c r="C677" s="5"/>
      <c r="D677" s="5"/>
      <c r="E677" s="5"/>
    </row>
    <row r="678" spans="1:5" ht="15.75" customHeight="1">
      <c r="A678" s="5"/>
      <c r="B678" s="5"/>
      <c r="C678" s="5"/>
      <c r="D678" s="5"/>
      <c r="E678" s="5"/>
    </row>
    <row r="679" spans="1:5" ht="15.75" customHeight="1">
      <c r="A679" s="5"/>
      <c r="B679" s="5"/>
      <c r="C679" s="5"/>
      <c r="D679" s="5"/>
      <c r="E679" s="5"/>
    </row>
    <row r="680" spans="1:5" ht="15.75" customHeight="1">
      <c r="A680" s="5"/>
      <c r="B680" s="5"/>
      <c r="C680" s="5"/>
      <c r="D680" s="5"/>
      <c r="E680" s="5"/>
    </row>
    <row r="681" spans="1:5" ht="15.75" customHeight="1">
      <c r="A681" s="5"/>
      <c r="B681" s="5"/>
      <c r="C681" s="5"/>
      <c r="D681" s="5"/>
      <c r="E681" s="5"/>
    </row>
    <row r="682" spans="1:5" ht="15.75" customHeight="1">
      <c r="A682" s="5"/>
      <c r="B682" s="5"/>
      <c r="C682" s="5"/>
      <c r="D682" s="5"/>
      <c r="E682" s="5"/>
    </row>
    <row r="683" spans="1:5" ht="15.75" customHeight="1">
      <c r="A683" s="5"/>
      <c r="B683" s="5"/>
      <c r="C683" s="5"/>
      <c r="D683" s="5"/>
      <c r="E683" s="5"/>
    </row>
    <row r="684" spans="1:5" ht="15.75" customHeight="1">
      <c r="A684" s="5"/>
      <c r="B684" s="5"/>
      <c r="C684" s="5"/>
      <c r="D684" s="5"/>
      <c r="E684" s="5"/>
    </row>
    <row r="685" spans="1:5" ht="15.75" customHeight="1">
      <c r="A685" s="5"/>
      <c r="B685" s="5"/>
      <c r="C685" s="5"/>
      <c r="D685" s="5"/>
      <c r="E685" s="5"/>
    </row>
    <row r="686" spans="1:5" ht="15.75" customHeight="1">
      <c r="A686" s="5"/>
      <c r="B686" s="5"/>
      <c r="C686" s="5"/>
      <c r="D686" s="5"/>
      <c r="E686" s="5"/>
    </row>
    <row r="687" spans="1:5" ht="15.75" customHeight="1">
      <c r="A687" s="5"/>
      <c r="B687" s="5"/>
      <c r="C687" s="5"/>
      <c r="D687" s="5"/>
      <c r="E687" s="5"/>
    </row>
    <row r="688" spans="1:5" ht="15.75" customHeight="1">
      <c r="A688" s="5"/>
      <c r="B688" s="5"/>
      <c r="C688" s="5"/>
      <c r="D688" s="5"/>
      <c r="E688" s="5"/>
    </row>
    <row r="689" spans="1:5" ht="15.75" customHeight="1">
      <c r="A689" s="5"/>
      <c r="B689" s="5"/>
      <c r="C689" s="5"/>
      <c r="D689" s="5"/>
      <c r="E689" s="5"/>
    </row>
    <row r="690" spans="1:5" ht="15.75" customHeight="1">
      <c r="A690" s="5"/>
      <c r="B690" s="5"/>
      <c r="C690" s="5"/>
      <c r="D690" s="5"/>
      <c r="E690" s="5"/>
    </row>
    <row r="691" spans="1:5" ht="15.75" customHeight="1">
      <c r="A691" s="5"/>
      <c r="B691" s="5"/>
      <c r="C691" s="5"/>
      <c r="D691" s="5"/>
      <c r="E691" s="5"/>
    </row>
    <row r="692" spans="1:5" ht="15.75" customHeight="1">
      <c r="A692" s="5"/>
      <c r="B692" s="5"/>
      <c r="C692" s="5"/>
      <c r="D692" s="5"/>
      <c r="E692" s="5"/>
    </row>
    <row r="693" spans="1:5" ht="15.75" customHeight="1">
      <c r="A693" s="5"/>
      <c r="B693" s="5"/>
      <c r="C693" s="5"/>
      <c r="D693" s="5"/>
      <c r="E693" s="5"/>
    </row>
    <row r="694" spans="1:5" ht="15.75" customHeight="1">
      <c r="A694" s="5"/>
      <c r="B694" s="5"/>
      <c r="C694" s="5"/>
      <c r="D694" s="5"/>
      <c r="E694" s="5"/>
    </row>
    <row r="695" spans="1:5" ht="15.75" customHeight="1">
      <c r="A695" s="5"/>
      <c r="B695" s="5"/>
      <c r="C695" s="5"/>
      <c r="D695" s="5"/>
      <c r="E695" s="5"/>
    </row>
    <row r="696" spans="1:5" ht="15.75" customHeight="1">
      <c r="A696" s="5"/>
      <c r="B696" s="5"/>
      <c r="C696" s="5"/>
      <c r="D696" s="5"/>
      <c r="E696" s="5"/>
    </row>
    <row r="697" spans="1:5" ht="15.75" customHeight="1">
      <c r="A697" s="5"/>
      <c r="B697" s="5"/>
      <c r="C697" s="5"/>
      <c r="D697" s="5"/>
      <c r="E697" s="5"/>
    </row>
    <row r="698" spans="1:5" ht="15.75" customHeight="1">
      <c r="A698" s="5"/>
      <c r="B698" s="5"/>
      <c r="C698" s="5"/>
      <c r="D698" s="5"/>
      <c r="E698" s="5"/>
    </row>
    <row r="699" spans="1:5" ht="15.75" customHeight="1">
      <c r="A699" s="5"/>
      <c r="B699" s="5"/>
      <c r="C699" s="5"/>
      <c r="D699" s="5"/>
      <c r="E699" s="5"/>
    </row>
    <row r="700" spans="1:5" ht="15.75" customHeight="1">
      <c r="A700" s="5"/>
      <c r="B700" s="5"/>
      <c r="C700" s="5"/>
      <c r="D700" s="5"/>
      <c r="E700" s="5"/>
    </row>
    <row r="701" spans="1:5" ht="15.75" customHeight="1">
      <c r="A701" s="5"/>
      <c r="B701" s="5"/>
      <c r="C701" s="5"/>
      <c r="D701" s="5"/>
      <c r="E701" s="5"/>
    </row>
    <row r="702" spans="1:5" ht="15.75" customHeight="1">
      <c r="A702" s="5"/>
      <c r="B702" s="5"/>
      <c r="C702" s="5"/>
      <c r="D702" s="5"/>
      <c r="E702" s="5"/>
    </row>
    <row r="703" spans="1:5" ht="15.75" customHeight="1">
      <c r="A703" s="5"/>
      <c r="B703" s="5"/>
      <c r="C703" s="5"/>
      <c r="D703" s="5"/>
      <c r="E703" s="5"/>
    </row>
    <row r="704" spans="1:5" ht="15.75" customHeight="1">
      <c r="A704" s="5"/>
      <c r="B704" s="5"/>
      <c r="C704" s="5"/>
      <c r="D704" s="5"/>
      <c r="E704" s="5"/>
    </row>
    <row r="705" spans="1:5" ht="15.75" customHeight="1">
      <c r="A705" s="5"/>
      <c r="B705" s="5"/>
      <c r="C705" s="5"/>
      <c r="D705" s="5"/>
      <c r="E705" s="5"/>
    </row>
    <row r="706" spans="1:5" ht="15.75" customHeight="1">
      <c r="A706" s="5"/>
      <c r="B706" s="5"/>
      <c r="C706" s="5"/>
      <c r="D706" s="5"/>
      <c r="E706" s="5"/>
    </row>
    <row r="707" spans="1:5" ht="15.75" customHeight="1">
      <c r="A707" s="5"/>
      <c r="B707" s="5"/>
      <c r="C707" s="5"/>
      <c r="D707" s="5"/>
      <c r="E707" s="5"/>
    </row>
    <row r="708" spans="1:5" ht="15.75" customHeight="1">
      <c r="A708" s="5"/>
      <c r="B708" s="5"/>
      <c r="C708" s="5"/>
      <c r="D708" s="5"/>
      <c r="E708" s="5"/>
    </row>
    <row r="709" spans="1:5" ht="15.75" customHeight="1">
      <c r="A709" s="5"/>
      <c r="B709" s="5"/>
      <c r="C709" s="5"/>
      <c r="D709" s="5"/>
      <c r="E709" s="5"/>
    </row>
    <row r="710" spans="1:5" ht="15.75" customHeight="1">
      <c r="A710" s="5"/>
      <c r="B710" s="5"/>
      <c r="C710" s="5"/>
      <c r="D710" s="5"/>
      <c r="E710" s="5"/>
    </row>
    <row r="711" spans="1:5" ht="15.75" customHeight="1">
      <c r="A711" s="5"/>
      <c r="B711" s="5"/>
      <c r="C711" s="5"/>
      <c r="D711" s="5"/>
      <c r="E711" s="5"/>
    </row>
    <row r="712" spans="1:5" ht="15.75" customHeight="1">
      <c r="A712" s="5"/>
      <c r="B712" s="5"/>
      <c r="C712" s="5"/>
      <c r="D712" s="5"/>
      <c r="E712" s="5"/>
    </row>
    <row r="713" spans="1:5" ht="15.75" customHeight="1">
      <c r="A713" s="5"/>
      <c r="B713" s="5"/>
      <c r="C713" s="5"/>
      <c r="D713" s="5"/>
      <c r="E713" s="5"/>
    </row>
    <row r="714" spans="1:5" ht="15.75" customHeight="1">
      <c r="A714" s="5"/>
      <c r="B714" s="5"/>
      <c r="C714" s="5"/>
      <c r="D714" s="5"/>
      <c r="E714" s="5"/>
    </row>
    <row r="715" spans="1:5" ht="15.75" customHeight="1">
      <c r="A715" s="5"/>
      <c r="B715" s="5"/>
      <c r="C715" s="5"/>
      <c r="D715" s="5"/>
      <c r="E715" s="5"/>
    </row>
    <row r="716" spans="1:5" ht="15.75" customHeight="1">
      <c r="A716" s="5"/>
      <c r="B716" s="5"/>
      <c r="C716" s="5"/>
      <c r="D716" s="5"/>
      <c r="E716" s="5"/>
    </row>
    <row r="717" spans="1:5" ht="15.75" customHeight="1">
      <c r="A717" s="5"/>
      <c r="B717" s="5"/>
      <c r="C717" s="5"/>
      <c r="D717" s="5"/>
      <c r="E717" s="5"/>
    </row>
    <row r="718" spans="1:5" ht="15.75" customHeight="1">
      <c r="A718" s="5"/>
      <c r="B718" s="5"/>
      <c r="C718" s="5"/>
      <c r="D718" s="5"/>
      <c r="E718" s="5"/>
    </row>
    <row r="719" spans="1:5" ht="15.75" customHeight="1">
      <c r="A719" s="5"/>
      <c r="B719" s="5"/>
      <c r="C719" s="5"/>
      <c r="D719" s="5"/>
      <c r="E719" s="5"/>
    </row>
    <row r="720" spans="1:5" ht="15.75" customHeight="1">
      <c r="A720" s="5"/>
      <c r="B720" s="5"/>
      <c r="C720" s="5"/>
      <c r="D720" s="5"/>
      <c r="E720" s="5"/>
    </row>
    <row r="721" spans="1:5" ht="15.75" customHeight="1">
      <c r="A721" s="5"/>
      <c r="B721" s="5"/>
      <c r="C721" s="5"/>
      <c r="D721" s="5"/>
      <c r="E721" s="5"/>
    </row>
    <row r="722" spans="1:5" ht="15.75" customHeight="1">
      <c r="A722" s="5"/>
      <c r="B722" s="5"/>
      <c r="C722" s="5"/>
      <c r="D722" s="5"/>
      <c r="E722" s="5"/>
    </row>
    <row r="723" spans="1:5" ht="15.75" customHeight="1">
      <c r="A723" s="5"/>
      <c r="B723" s="5"/>
      <c r="C723" s="5"/>
      <c r="D723" s="5"/>
      <c r="E723" s="5"/>
    </row>
    <row r="724" spans="1:5" ht="15.75" customHeight="1">
      <c r="A724" s="5"/>
      <c r="B724" s="5"/>
      <c r="C724" s="5"/>
      <c r="D724" s="5"/>
      <c r="E724" s="5"/>
    </row>
    <row r="725" spans="1:5" ht="15.75" customHeight="1">
      <c r="A725" s="5"/>
      <c r="B725" s="5"/>
      <c r="C725" s="5"/>
      <c r="D725" s="5"/>
      <c r="E725" s="5"/>
    </row>
    <row r="726" spans="1:5" ht="15.75" customHeight="1">
      <c r="A726" s="5"/>
      <c r="B726" s="5"/>
      <c r="C726" s="5"/>
      <c r="D726" s="5"/>
      <c r="E726" s="5"/>
    </row>
    <row r="727" spans="1:5" ht="15.75" customHeight="1">
      <c r="A727" s="5"/>
      <c r="B727" s="5"/>
      <c r="C727" s="5"/>
      <c r="D727" s="5"/>
      <c r="E727" s="5"/>
    </row>
    <row r="728" spans="1:5" ht="15.75" customHeight="1">
      <c r="A728" s="5"/>
      <c r="B728" s="5"/>
      <c r="C728" s="5"/>
      <c r="D728" s="5"/>
      <c r="E728" s="5"/>
    </row>
    <row r="729" spans="1:5" ht="15.75" customHeight="1">
      <c r="A729" s="5"/>
      <c r="B729" s="5"/>
      <c r="C729" s="5"/>
      <c r="D729" s="5"/>
      <c r="E729" s="5"/>
    </row>
    <row r="730" spans="1:5" ht="15.75" customHeight="1">
      <c r="A730" s="5"/>
      <c r="B730" s="5"/>
      <c r="C730" s="5"/>
      <c r="D730" s="5"/>
      <c r="E730" s="5"/>
    </row>
    <row r="731" spans="1:5" ht="15.75" customHeight="1">
      <c r="A731" s="5"/>
      <c r="B731" s="5"/>
      <c r="C731" s="5"/>
      <c r="D731" s="5"/>
      <c r="E731" s="5"/>
    </row>
    <row r="732" spans="1:5" ht="15.75" customHeight="1">
      <c r="A732" s="5"/>
      <c r="B732" s="5"/>
      <c r="C732" s="5"/>
      <c r="D732" s="5"/>
      <c r="E732" s="5"/>
    </row>
    <row r="733" spans="1:5" ht="15.75" customHeight="1">
      <c r="A733" s="5"/>
      <c r="B733" s="5"/>
      <c r="C733" s="5"/>
      <c r="D733" s="5"/>
      <c r="E733" s="5"/>
    </row>
    <row r="734" spans="1:5" ht="15.75" customHeight="1">
      <c r="A734" s="5"/>
      <c r="B734" s="5"/>
      <c r="C734" s="5"/>
      <c r="D734" s="5"/>
      <c r="E734" s="5"/>
    </row>
    <row r="735" spans="1:5" ht="15.75" customHeight="1">
      <c r="A735" s="5"/>
      <c r="B735" s="5"/>
      <c r="C735" s="5"/>
      <c r="D735" s="5"/>
      <c r="E735" s="5"/>
    </row>
    <row r="736" spans="1:5" ht="15.75" customHeight="1">
      <c r="A736" s="5"/>
      <c r="B736" s="5"/>
      <c r="C736" s="5"/>
      <c r="D736" s="5"/>
      <c r="E736" s="5"/>
    </row>
    <row r="737" spans="1:5" ht="15.75" customHeight="1">
      <c r="A737" s="5"/>
      <c r="B737" s="5"/>
      <c r="C737" s="5"/>
      <c r="D737" s="5"/>
      <c r="E737" s="5"/>
    </row>
    <row r="738" spans="1:5" ht="15.75" customHeight="1">
      <c r="A738" s="5"/>
      <c r="B738" s="5"/>
      <c r="C738" s="5"/>
      <c r="D738" s="5"/>
      <c r="E738" s="5"/>
    </row>
    <row r="739" spans="1:5" ht="15.75" customHeight="1">
      <c r="A739" s="5"/>
      <c r="B739" s="5"/>
      <c r="C739" s="5"/>
      <c r="D739" s="5"/>
      <c r="E739" s="5"/>
    </row>
    <row r="740" spans="1:5" ht="15.75" customHeight="1">
      <c r="A740" s="5"/>
      <c r="B740" s="5"/>
      <c r="C740" s="5"/>
      <c r="D740" s="5"/>
      <c r="E740" s="5"/>
    </row>
    <row r="741" spans="1:5" ht="15.75" customHeight="1">
      <c r="A741" s="5"/>
      <c r="B741" s="5"/>
      <c r="C741" s="5"/>
      <c r="D741" s="5"/>
      <c r="E741" s="5"/>
    </row>
    <row r="742" spans="1:5" ht="15.75" customHeight="1">
      <c r="A742" s="5"/>
      <c r="B742" s="5"/>
      <c r="C742" s="5"/>
      <c r="D742" s="5"/>
      <c r="E742" s="5"/>
    </row>
    <row r="743" spans="1:5" ht="15.75" customHeight="1">
      <c r="A743" s="5"/>
      <c r="B743" s="5"/>
      <c r="C743" s="5"/>
      <c r="D743" s="5"/>
      <c r="E743" s="5"/>
    </row>
    <row r="744" spans="1:5" ht="15.75" customHeight="1">
      <c r="A744" s="5"/>
      <c r="B744" s="5"/>
      <c r="C744" s="5"/>
      <c r="D744" s="5"/>
      <c r="E744" s="5"/>
    </row>
    <row r="745" spans="1:5" ht="15.75" customHeight="1">
      <c r="A745" s="5"/>
      <c r="B745" s="5"/>
      <c r="C745" s="5"/>
      <c r="D745" s="5"/>
      <c r="E745" s="5"/>
    </row>
    <row r="746" spans="1:5" ht="15.75" customHeight="1">
      <c r="A746" s="5"/>
      <c r="B746" s="5"/>
      <c r="C746" s="5"/>
      <c r="D746" s="5"/>
      <c r="E746" s="5"/>
    </row>
    <row r="747" spans="1:5" ht="15.75" customHeight="1">
      <c r="A747" s="5"/>
      <c r="B747" s="5"/>
      <c r="C747" s="5"/>
      <c r="D747" s="5"/>
      <c r="E747" s="5"/>
    </row>
    <row r="748" spans="1:5" ht="15.75" customHeight="1">
      <c r="A748" s="5"/>
      <c r="B748" s="5"/>
      <c r="C748" s="5"/>
      <c r="D748" s="5"/>
      <c r="E748" s="5"/>
    </row>
    <row r="749" spans="1:5" ht="15.75" customHeight="1">
      <c r="A749" s="5"/>
      <c r="B749" s="5"/>
      <c r="C749" s="5"/>
      <c r="D749" s="5"/>
      <c r="E749" s="5"/>
    </row>
    <row r="750" spans="1:5" ht="15.75" customHeight="1">
      <c r="A750" s="5"/>
      <c r="B750" s="5"/>
      <c r="C750" s="5"/>
      <c r="D750" s="5"/>
      <c r="E750" s="5"/>
    </row>
    <row r="751" spans="1:5" ht="15.75" customHeight="1">
      <c r="A751" s="5"/>
      <c r="B751" s="5"/>
      <c r="C751" s="5"/>
      <c r="D751" s="5"/>
      <c r="E751" s="5"/>
    </row>
    <row r="752" spans="1:5" ht="15.75" customHeight="1">
      <c r="A752" s="5"/>
      <c r="B752" s="5"/>
      <c r="C752" s="5"/>
      <c r="D752" s="5"/>
      <c r="E752" s="5"/>
    </row>
    <row r="753" spans="1:5" ht="15.75" customHeight="1">
      <c r="A753" s="5"/>
      <c r="B753" s="5"/>
      <c r="C753" s="5"/>
      <c r="D753" s="5"/>
      <c r="E753" s="5"/>
    </row>
    <row r="754" spans="1:5" ht="15.75" customHeight="1">
      <c r="A754" s="5"/>
      <c r="B754" s="5"/>
      <c r="C754" s="5"/>
      <c r="D754" s="5"/>
      <c r="E754" s="5"/>
    </row>
    <row r="755" spans="1:5" ht="15.75" customHeight="1">
      <c r="A755" s="5"/>
      <c r="B755" s="5"/>
      <c r="C755" s="5"/>
      <c r="D755" s="5"/>
      <c r="E755" s="5"/>
    </row>
    <row r="756" spans="1:5" ht="15.75" customHeight="1">
      <c r="A756" s="5"/>
      <c r="B756" s="5"/>
      <c r="C756" s="5"/>
      <c r="D756" s="5"/>
      <c r="E756" s="5"/>
    </row>
    <row r="757" spans="1:5" ht="15.75" customHeight="1">
      <c r="A757" s="5"/>
      <c r="B757" s="5"/>
      <c r="C757" s="5"/>
      <c r="D757" s="5"/>
      <c r="E757" s="5"/>
    </row>
    <row r="758" spans="1:5" ht="15.75" customHeight="1">
      <c r="A758" s="5"/>
      <c r="B758" s="5"/>
      <c r="C758" s="5"/>
      <c r="D758" s="5"/>
      <c r="E758" s="5"/>
    </row>
    <row r="759" spans="1:5" ht="15.75" customHeight="1">
      <c r="A759" s="5"/>
      <c r="B759" s="5"/>
      <c r="C759" s="5"/>
      <c r="D759" s="5"/>
      <c r="E759" s="5"/>
    </row>
    <row r="760" spans="1:5" ht="15.75" customHeight="1">
      <c r="A760" s="5"/>
      <c r="B760" s="5"/>
      <c r="C760" s="5"/>
      <c r="D760" s="5"/>
      <c r="E760" s="5"/>
    </row>
    <row r="761" spans="1:5" ht="15.75" customHeight="1">
      <c r="A761" s="5"/>
      <c r="B761" s="5"/>
      <c r="C761" s="5"/>
      <c r="D761" s="5"/>
      <c r="E761" s="5"/>
    </row>
    <row r="762" spans="1:5" ht="15.75" customHeight="1">
      <c r="A762" s="5"/>
      <c r="B762" s="5"/>
      <c r="C762" s="5"/>
      <c r="D762" s="5"/>
      <c r="E762" s="5"/>
    </row>
    <row r="763" spans="1:5" ht="15.75" customHeight="1">
      <c r="A763" s="5"/>
      <c r="B763" s="5"/>
      <c r="C763" s="5"/>
      <c r="D763" s="5"/>
      <c r="E763" s="5"/>
    </row>
    <row r="764" spans="1:5" ht="15.75" customHeight="1">
      <c r="A764" s="5"/>
      <c r="B764" s="5"/>
      <c r="C764" s="5"/>
      <c r="D764" s="5"/>
      <c r="E764" s="5"/>
    </row>
    <row r="765" spans="1:5" ht="15.75" customHeight="1">
      <c r="A765" s="5"/>
      <c r="B765" s="5"/>
      <c r="C765" s="5"/>
      <c r="D765" s="5"/>
      <c r="E765" s="5"/>
    </row>
    <row r="766" spans="1:5" ht="15.75" customHeight="1">
      <c r="A766" s="5"/>
      <c r="B766" s="5"/>
      <c r="C766" s="5"/>
      <c r="D766" s="5"/>
      <c r="E766" s="5"/>
    </row>
    <row r="767" spans="1:5" ht="15.75" customHeight="1">
      <c r="A767" s="5"/>
      <c r="B767" s="5"/>
      <c r="C767" s="5"/>
      <c r="D767" s="5"/>
      <c r="E767" s="5"/>
    </row>
    <row r="768" spans="1:5" ht="15.75" customHeight="1">
      <c r="A768" s="5"/>
      <c r="B768" s="5"/>
      <c r="C768" s="5"/>
      <c r="D768" s="5"/>
      <c r="E768" s="5"/>
    </row>
    <row r="769" spans="1:5" ht="15.75" customHeight="1">
      <c r="A769" s="5"/>
      <c r="B769" s="5"/>
      <c r="C769" s="5"/>
      <c r="D769" s="5"/>
      <c r="E769" s="5"/>
    </row>
    <row r="770" spans="1:5" ht="15.75" customHeight="1">
      <c r="A770" s="5"/>
      <c r="B770" s="5"/>
      <c r="C770" s="5"/>
      <c r="D770" s="5"/>
      <c r="E770" s="5"/>
    </row>
    <row r="771" spans="1:5" ht="15.75" customHeight="1">
      <c r="A771" s="5"/>
      <c r="B771" s="5"/>
      <c r="C771" s="5"/>
      <c r="D771" s="5"/>
      <c r="E771" s="5"/>
    </row>
    <row r="772" spans="1:5" ht="15.75" customHeight="1">
      <c r="A772" s="5"/>
      <c r="B772" s="5"/>
      <c r="C772" s="5"/>
      <c r="D772" s="5"/>
      <c r="E772" s="5"/>
    </row>
    <row r="773" spans="1:5" ht="15.75" customHeight="1">
      <c r="A773" s="5"/>
      <c r="B773" s="5"/>
      <c r="C773" s="5"/>
      <c r="D773" s="5"/>
      <c r="E773" s="5"/>
    </row>
    <row r="774" spans="1:5" ht="15.75" customHeight="1">
      <c r="A774" s="5"/>
      <c r="B774" s="5"/>
      <c r="C774" s="5"/>
      <c r="D774" s="5"/>
      <c r="E774" s="5"/>
    </row>
    <row r="775" spans="1:5" ht="15.75" customHeight="1">
      <c r="A775" s="5"/>
      <c r="B775" s="5"/>
      <c r="C775" s="5"/>
      <c r="D775" s="5"/>
      <c r="E775" s="5"/>
    </row>
    <row r="776" spans="1:5" ht="15.75" customHeight="1">
      <c r="A776" s="5"/>
      <c r="B776" s="5"/>
      <c r="C776" s="5"/>
      <c r="D776" s="5"/>
      <c r="E776" s="5"/>
    </row>
    <row r="777" spans="1:5" ht="15.75" customHeight="1">
      <c r="A777" s="5"/>
      <c r="B777" s="5"/>
      <c r="C777" s="5"/>
      <c r="D777" s="5"/>
      <c r="E777" s="5"/>
    </row>
    <row r="778" spans="1:5" ht="15.75" customHeight="1">
      <c r="A778" s="5"/>
      <c r="B778" s="5"/>
      <c r="C778" s="5"/>
      <c r="D778" s="5"/>
      <c r="E778" s="5"/>
    </row>
    <row r="779" spans="1:5" ht="15.75" customHeight="1">
      <c r="A779" s="5"/>
      <c r="B779" s="5"/>
      <c r="C779" s="5"/>
      <c r="D779" s="5"/>
      <c r="E779" s="5"/>
    </row>
    <row r="780" spans="1:5" ht="15.75" customHeight="1">
      <c r="A780" s="5"/>
      <c r="B780" s="5"/>
      <c r="C780" s="5"/>
      <c r="D780" s="5"/>
      <c r="E780" s="5"/>
    </row>
    <row r="781" spans="1:5" ht="15.75" customHeight="1">
      <c r="A781" s="5"/>
      <c r="B781" s="5"/>
      <c r="C781" s="5"/>
      <c r="D781" s="5"/>
      <c r="E781" s="5"/>
    </row>
    <row r="782" spans="1:5" ht="15.75" customHeight="1">
      <c r="A782" s="5"/>
      <c r="B782" s="5"/>
      <c r="C782" s="5"/>
      <c r="D782" s="5"/>
      <c r="E782" s="5"/>
    </row>
    <row r="783" spans="1:5" ht="15.75" customHeight="1">
      <c r="A783" s="5"/>
      <c r="B783" s="5"/>
      <c r="C783" s="5"/>
      <c r="D783" s="5"/>
      <c r="E783" s="5"/>
    </row>
    <row r="784" spans="1:5" ht="15.75" customHeight="1">
      <c r="A784" s="5"/>
      <c r="B784" s="5"/>
      <c r="C784" s="5"/>
      <c r="D784" s="5"/>
      <c r="E784" s="5"/>
    </row>
    <row r="785" spans="1:5" ht="15.75" customHeight="1">
      <c r="A785" s="5"/>
      <c r="B785" s="5"/>
      <c r="C785" s="5"/>
      <c r="D785" s="5"/>
      <c r="E785" s="5"/>
    </row>
    <row r="786" spans="1:5" ht="15.75" customHeight="1">
      <c r="A786" s="5"/>
      <c r="B786" s="5"/>
      <c r="C786" s="5"/>
      <c r="D786" s="5"/>
      <c r="E786" s="5"/>
    </row>
    <row r="787" spans="1:5" ht="15.75" customHeight="1">
      <c r="A787" s="5"/>
      <c r="B787" s="5"/>
      <c r="C787" s="5"/>
      <c r="D787" s="5"/>
      <c r="E787" s="5"/>
    </row>
    <row r="788" spans="1:5" ht="15.75" customHeight="1">
      <c r="A788" s="5"/>
      <c r="B788" s="5"/>
      <c r="C788" s="5"/>
      <c r="D788" s="5"/>
      <c r="E788" s="5"/>
    </row>
    <row r="789" spans="1:5" ht="15.75" customHeight="1">
      <c r="A789" s="5"/>
      <c r="B789" s="5"/>
      <c r="C789" s="5"/>
      <c r="D789" s="5"/>
      <c r="E789" s="5"/>
    </row>
    <row r="790" spans="1:5" ht="15.75" customHeight="1">
      <c r="A790" s="5"/>
      <c r="B790" s="5"/>
      <c r="C790" s="5"/>
      <c r="D790" s="5"/>
      <c r="E790" s="5"/>
    </row>
    <row r="791" spans="1:5" ht="15.75" customHeight="1">
      <c r="A791" s="5"/>
      <c r="B791" s="5"/>
      <c r="C791" s="5"/>
      <c r="D791" s="5"/>
      <c r="E791" s="5"/>
    </row>
    <row r="792" spans="1:5" ht="15.75" customHeight="1">
      <c r="A792" s="5"/>
      <c r="B792" s="5"/>
      <c r="C792" s="5"/>
      <c r="D792" s="5"/>
      <c r="E792" s="5"/>
    </row>
    <row r="793" spans="1:5" ht="15.75" customHeight="1">
      <c r="A793" s="5"/>
      <c r="B793" s="5"/>
      <c r="C793" s="5"/>
      <c r="D793" s="5"/>
      <c r="E793" s="5"/>
    </row>
    <row r="794" spans="1:5" ht="15.75" customHeight="1">
      <c r="A794" s="5"/>
      <c r="B794" s="5"/>
      <c r="C794" s="5"/>
      <c r="D794" s="5"/>
      <c r="E794" s="5"/>
    </row>
    <row r="795" spans="1:5" ht="15.75" customHeight="1">
      <c r="A795" s="5"/>
      <c r="B795" s="5"/>
      <c r="C795" s="5"/>
      <c r="D795" s="5"/>
      <c r="E795" s="5"/>
    </row>
    <row r="796" spans="1:5" ht="15.75" customHeight="1">
      <c r="A796" s="5"/>
      <c r="B796" s="5"/>
      <c r="C796" s="5"/>
      <c r="D796" s="5"/>
      <c r="E796" s="5"/>
    </row>
    <row r="797" spans="1:5" ht="15.75" customHeight="1">
      <c r="A797" s="5"/>
      <c r="B797" s="5"/>
      <c r="C797" s="5"/>
      <c r="D797" s="5"/>
      <c r="E797" s="5"/>
    </row>
    <row r="798" spans="1:5" ht="15.75" customHeight="1">
      <c r="A798" s="5"/>
      <c r="B798" s="5"/>
      <c r="C798" s="5"/>
      <c r="D798" s="5"/>
      <c r="E798" s="5"/>
    </row>
    <row r="799" spans="1:5" ht="15.75" customHeight="1">
      <c r="A799" s="5"/>
      <c r="B799" s="5"/>
      <c r="C799" s="5"/>
      <c r="D799" s="5"/>
      <c r="E799" s="5"/>
    </row>
    <row r="800" spans="1:5" ht="15.75" customHeight="1">
      <c r="A800" s="5"/>
      <c r="B800" s="5"/>
      <c r="C800" s="5"/>
      <c r="D800" s="5"/>
      <c r="E800" s="5"/>
    </row>
    <row r="801" spans="1:5" ht="15.75" customHeight="1">
      <c r="A801" s="5"/>
      <c r="B801" s="5"/>
      <c r="C801" s="5"/>
      <c r="D801" s="5"/>
      <c r="E801" s="5"/>
    </row>
    <row r="802" spans="1:5" ht="15.75" customHeight="1">
      <c r="A802" s="5"/>
      <c r="B802" s="5"/>
      <c r="C802" s="5"/>
      <c r="D802" s="5"/>
      <c r="E802" s="5"/>
    </row>
    <row r="803" spans="1:5" ht="15.75" customHeight="1">
      <c r="A803" s="5"/>
      <c r="B803" s="5"/>
      <c r="C803" s="5"/>
      <c r="D803" s="5"/>
      <c r="E803" s="5"/>
    </row>
    <row r="804" spans="1:5" ht="15.75" customHeight="1">
      <c r="A804" s="5"/>
      <c r="B804" s="5"/>
      <c r="C804" s="5"/>
      <c r="D804" s="5"/>
      <c r="E804" s="5"/>
    </row>
    <row r="805" spans="1:5" ht="15.75" customHeight="1">
      <c r="A805" s="5"/>
      <c r="B805" s="5"/>
      <c r="C805" s="5"/>
      <c r="D805" s="5"/>
      <c r="E805" s="5"/>
    </row>
    <row r="806" spans="1:5" ht="15.75" customHeight="1">
      <c r="A806" s="5"/>
      <c r="B806" s="5"/>
      <c r="C806" s="5"/>
      <c r="D806" s="5"/>
      <c r="E806" s="5"/>
    </row>
    <row r="807" spans="1:5" ht="15.75" customHeight="1">
      <c r="A807" s="5"/>
      <c r="B807" s="5"/>
      <c r="C807" s="5"/>
      <c r="D807" s="5"/>
      <c r="E807" s="5"/>
    </row>
    <row r="808" spans="1:5" ht="15.75" customHeight="1">
      <c r="A808" s="5"/>
      <c r="B808" s="5"/>
      <c r="C808" s="5"/>
      <c r="D808" s="5"/>
      <c r="E808" s="5"/>
    </row>
    <row r="809" spans="1:5" ht="15.75" customHeight="1">
      <c r="A809" s="5"/>
      <c r="B809" s="5"/>
      <c r="C809" s="5"/>
      <c r="D809" s="5"/>
      <c r="E809" s="5"/>
    </row>
    <row r="810" spans="1:5" ht="15.75" customHeight="1">
      <c r="A810" s="5"/>
      <c r="B810" s="5"/>
      <c r="C810" s="5"/>
      <c r="D810" s="5"/>
      <c r="E810" s="5"/>
    </row>
    <row r="811" spans="1:5" ht="15.75" customHeight="1">
      <c r="A811" s="5"/>
      <c r="B811" s="5"/>
      <c r="C811" s="5"/>
      <c r="D811" s="5"/>
      <c r="E811" s="5"/>
    </row>
    <row r="812" spans="1:5" ht="15.75" customHeight="1">
      <c r="A812" s="5"/>
      <c r="B812" s="5"/>
      <c r="C812" s="5"/>
      <c r="D812" s="5"/>
      <c r="E812" s="5"/>
    </row>
    <row r="813" spans="1:5" ht="15.75" customHeight="1">
      <c r="A813" s="5"/>
      <c r="B813" s="5"/>
      <c r="C813" s="5"/>
      <c r="D813" s="5"/>
      <c r="E813" s="5"/>
    </row>
    <row r="814" spans="1:5" ht="15.75" customHeight="1">
      <c r="A814" s="5"/>
      <c r="B814" s="5"/>
      <c r="C814" s="5"/>
      <c r="D814" s="5"/>
      <c r="E814" s="5"/>
    </row>
    <row r="815" spans="1:5" ht="15.75" customHeight="1">
      <c r="A815" s="5"/>
      <c r="B815" s="5"/>
      <c r="C815" s="5"/>
      <c r="D815" s="5"/>
      <c r="E815" s="5"/>
    </row>
    <row r="816" spans="1:5" ht="15.75" customHeight="1">
      <c r="A816" s="5"/>
      <c r="B816" s="5"/>
      <c r="C816" s="5"/>
      <c r="D816" s="5"/>
      <c r="E816" s="5"/>
    </row>
    <row r="817" spans="1:5" ht="15.75" customHeight="1">
      <c r="A817" s="5"/>
      <c r="B817" s="5"/>
      <c r="C817" s="5"/>
      <c r="D817" s="5"/>
      <c r="E817" s="5"/>
    </row>
    <row r="818" spans="1:5" ht="15.75" customHeight="1">
      <c r="A818" s="5"/>
      <c r="B818" s="5"/>
      <c r="C818" s="5"/>
      <c r="D818" s="5"/>
      <c r="E818" s="5"/>
    </row>
    <row r="819" spans="1:5" ht="15.75" customHeight="1">
      <c r="A819" s="5"/>
      <c r="B819" s="5"/>
      <c r="C819" s="5"/>
      <c r="D819" s="5"/>
      <c r="E819" s="5"/>
    </row>
    <row r="820" spans="1:5" ht="15.75" customHeight="1">
      <c r="A820" s="5"/>
      <c r="B820" s="5"/>
      <c r="C820" s="5"/>
      <c r="D820" s="5"/>
      <c r="E820" s="5"/>
    </row>
    <row r="821" spans="1:5" ht="15.75" customHeight="1">
      <c r="A821" s="5"/>
      <c r="B821" s="5"/>
      <c r="C821" s="5"/>
      <c r="D821" s="5"/>
      <c r="E821" s="5"/>
    </row>
    <row r="822" spans="1:5" ht="15.75" customHeight="1">
      <c r="A822" s="5"/>
      <c r="B822" s="5"/>
      <c r="C822" s="5"/>
      <c r="D822" s="5"/>
      <c r="E822" s="5"/>
    </row>
    <row r="823" spans="1:5" ht="15.75" customHeight="1">
      <c r="A823" s="5"/>
      <c r="B823" s="5"/>
      <c r="C823" s="5"/>
      <c r="D823" s="5"/>
      <c r="E823" s="5"/>
    </row>
    <row r="824" spans="1:5" ht="15.75" customHeight="1">
      <c r="A824" s="5"/>
      <c r="B824" s="5"/>
      <c r="C824" s="5"/>
      <c r="D824" s="5"/>
      <c r="E824" s="5"/>
    </row>
    <row r="825" spans="1:5" ht="15.75" customHeight="1">
      <c r="A825" s="5"/>
      <c r="B825" s="5"/>
      <c r="C825" s="5"/>
      <c r="D825" s="5"/>
      <c r="E825" s="5"/>
    </row>
    <row r="826" spans="1:5" ht="15.75" customHeight="1">
      <c r="A826" s="5"/>
      <c r="B826" s="5"/>
      <c r="C826" s="5"/>
      <c r="D826" s="5"/>
      <c r="E826" s="5"/>
    </row>
    <row r="827" spans="1:5" ht="15.75" customHeight="1">
      <c r="A827" s="5"/>
      <c r="B827" s="5"/>
      <c r="C827" s="5"/>
      <c r="D827" s="5"/>
      <c r="E827" s="5"/>
    </row>
    <row r="828" spans="1:5" ht="15.75" customHeight="1">
      <c r="A828" s="5"/>
      <c r="B828" s="5"/>
      <c r="C828" s="5"/>
      <c r="D828" s="5"/>
      <c r="E828" s="5"/>
    </row>
    <row r="829" spans="1:5" ht="15.75" customHeight="1">
      <c r="A829" s="5"/>
      <c r="B829" s="5"/>
      <c r="C829" s="5"/>
      <c r="D829" s="5"/>
      <c r="E829" s="5"/>
    </row>
    <row r="830" spans="1:5" ht="15.75" customHeight="1">
      <c r="A830" s="5"/>
      <c r="B830" s="5"/>
      <c r="C830" s="5"/>
      <c r="D830" s="5"/>
      <c r="E830" s="5"/>
    </row>
    <row r="831" spans="1:5" ht="15.75" customHeight="1">
      <c r="A831" s="5"/>
      <c r="B831" s="5"/>
      <c r="C831" s="5"/>
      <c r="D831" s="5"/>
      <c r="E831" s="5"/>
    </row>
    <row r="832" spans="1:5" ht="15.75" customHeight="1">
      <c r="A832" s="5"/>
      <c r="B832" s="5"/>
      <c r="C832" s="5"/>
      <c r="D832" s="5"/>
      <c r="E832" s="5"/>
    </row>
    <row r="833" spans="1:5" ht="15.75" customHeight="1">
      <c r="A833" s="5"/>
      <c r="B833" s="5"/>
      <c r="C833" s="5"/>
      <c r="D833" s="5"/>
      <c r="E833" s="5"/>
    </row>
    <row r="834" spans="1:5" ht="15.75" customHeight="1">
      <c r="A834" s="5"/>
      <c r="B834" s="5"/>
      <c r="C834" s="5"/>
      <c r="D834" s="5"/>
      <c r="E834" s="5"/>
    </row>
    <row r="835" spans="1:5" ht="15.75" customHeight="1">
      <c r="A835" s="5"/>
      <c r="B835" s="5"/>
      <c r="C835" s="5"/>
      <c r="D835" s="5"/>
      <c r="E835" s="5"/>
    </row>
    <row r="836" spans="1:5" ht="15.75" customHeight="1">
      <c r="A836" s="5"/>
      <c r="B836" s="5"/>
      <c r="C836" s="5"/>
      <c r="D836" s="5"/>
      <c r="E836" s="5"/>
    </row>
    <row r="837" spans="1:5" ht="15.75" customHeight="1">
      <c r="A837" s="5"/>
      <c r="B837" s="5"/>
      <c r="C837" s="5"/>
      <c r="D837" s="5"/>
      <c r="E837" s="5"/>
    </row>
    <row r="838" spans="1:5" ht="15.75" customHeight="1">
      <c r="A838" s="5"/>
      <c r="B838" s="5"/>
      <c r="C838" s="5"/>
      <c r="D838" s="5"/>
      <c r="E838" s="5"/>
    </row>
    <row r="839" spans="1:5" ht="15.75" customHeight="1">
      <c r="A839" s="5"/>
      <c r="B839" s="5"/>
      <c r="C839" s="5"/>
      <c r="D839" s="5"/>
      <c r="E839" s="5"/>
    </row>
    <row r="840" spans="1:5" ht="15.75" customHeight="1">
      <c r="A840" s="5"/>
      <c r="B840" s="5"/>
      <c r="C840" s="5"/>
      <c r="D840" s="5"/>
      <c r="E840" s="5"/>
    </row>
    <row r="841" spans="1:5" ht="15.75" customHeight="1">
      <c r="A841" s="5"/>
      <c r="B841" s="5"/>
      <c r="C841" s="5"/>
      <c r="D841" s="5"/>
      <c r="E841" s="5"/>
    </row>
    <row r="842" spans="1:5" ht="15.75" customHeight="1">
      <c r="A842" s="5"/>
      <c r="B842" s="5"/>
      <c r="C842" s="5"/>
      <c r="D842" s="5"/>
      <c r="E842" s="5"/>
    </row>
    <row r="843" spans="1:5" ht="15.75" customHeight="1">
      <c r="A843" s="5"/>
      <c r="B843" s="5"/>
      <c r="C843" s="5"/>
      <c r="D843" s="5"/>
      <c r="E843" s="5"/>
    </row>
    <row r="844" spans="1:5" ht="15.75" customHeight="1">
      <c r="A844" s="5"/>
      <c r="B844" s="5"/>
      <c r="C844" s="5"/>
      <c r="D844" s="5"/>
      <c r="E844" s="5"/>
    </row>
    <row r="845" spans="1:5" ht="15.75" customHeight="1">
      <c r="A845" s="5"/>
      <c r="B845" s="5"/>
      <c r="C845" s="5"/>
      <c r="D845" s="5"/>
      <c r="E845" s="5"/>
    </row>
    <row r="846" spans="1:5" ht="15.75" customHeight="1">
      <c r="A846" s="5"/>
      <c r="B846" s="5"/>
      <c r="C846" s="5"/>
      <c r="D846" s="5"/>
      <c r="E846" s="5"/>
    </row>
    <row r="847" spans="1:5" ht="15.75" customHeight="1">
      <c r="A847" s="5"/>
      <c r="B847" s="5"/>
      <c r="C847" s="5"/>
      <c r="D847" s="5"/>
      <c r="E847" s="5"/>
    </row>
    <row r="848" spans="1:5" ht="15.75" customHeight="1">
      <c r="A848" s="5"/>
      <c r="B848" s="5"/>
      <c r="C848" s="5"/>
      <c r="D848" s="5"/>
      <c r="E848" s="5"/>
    </row>
    <row r="849" spans="1:5" ht="15.75" customHeight="1">
      <c r="A849" s="5"/>
      <c r="B849" s="5"/>
      <c r="C849" s="5"/>
      <c r="D849" s="5"/>
      <c r="E849" s="5"/>
    </row>
    <row r="850" spans="1:5" ht="15.75" customHeight="1">
      <c r="A850" s="5"/>
      <c r="B850" s="5"/>
      <c r="C850" s="5"/>
      <c r="D850" s="5"/>
      <c r="E850" s="5"/>
    </row>
    <row r="851" spans="1:5" ht="15.75" customHeight="1">
      <c r="A851" s="5"/>
      <c r="B851" s="5"/>
      <c r="C851" s="5"/>
      <c r="D851" s="5"/>
      <c r="E851" s="5"/>
    </row>
    <row r="852" spans="1:5" ht="15.75" customHeight="1">
      <c r="A852" s="5"/>
      <c r="B852" s="5"/>
      <c r="C852" s="5"/>
      <c r="D852" s="5"/>
      <c r="E852" s="5"/>
    </row>
    <row r="853" spans="1:5" ht="15.75" customHeight="1">
      <c r="A853" s="5"/>
      <c r="B853" s="5"/>
      <c r="C853" s="5"/>
      <c r="D853" s="5"/>
      <c r="E853" s="5"/>
    </row>
    <row r="854" spans="1:5" ht="15.75" customHeight="1">
      <c r="A854" s="5"/>
      <c r="B854" s="5"/>
      <c r="C854" s="5"/>
      <c r="D854" s="5"/>
      <c r="E854" s="5"/>
    </row>
    <row r="855" spans="1:5" ht="15.75" customHeight="1">
      <c r="A855" s="5"/>
      <c r="B855" s="5"/>
      <c r="C855" s="5"/>
      <c r="D855" s="5"/>
      <c r="E855" s="5"/>
    </row>
    <row r="856" spans="1:5" ht="15.75" customHeight="1">
      <c r="A856" s="5"/>
      <c r="B856" s="5"/>
      <c r="C856" s="5"/>
      <c r="D856" s="5"/>
      <c r="E856" s="5"/>
    </row>
    <row r="857" spans="1:5" ht="15.75" customHeight="1">
      <c r="A857" s="5"/>
      <c r="B857" s="5"/>
      <c r="C857" s="5"/>
      <c r="D857" s="5"/>
      <c r="E857" s="5"/>
    </row>
    <row r="858" spans="1:5" ht="15.75" customHeight="1">
      <c r="A858" s="5"/>
      <c r="B858" s="5"/>
      <c r="C858" s="5"/>
      <c r="D858" s="5"/>
      <c r="E858" s="5"/>
    </row>
    <row r="859" spans="1:5" ht="15.75" customHeight="1">
      <c r="A859" s="5"/>
      <c r="B859" s="5"/>
      <c r="C859" s="5"/>
      <c r="D859" s="5"/>
      <c r="E859" s="5"/>
    </row>
    <row r="860" spans="1:5" ht="15.75" customHeight="1">
      <c r="A860" s="5"/>
      <c r="B860" s="5"/>
      <c r="C860" s="5"/>
      <c r="D860" s="5"/>
      <c r="E860" s="5"/>
    </row>
    <row r="861" spans="1:5" ht="15.75" customHeight="1">
      <c r="A861" s="5"/>
      <c r="B861" s="5"/>
      <c r="C861" s="5"/>
      <c r="D861" s="5"/>
      <c r="E861" s="5"/>
    </row>
    <row r="862" spans="1:5" ht="15.75" customHeight="1">
      <c r="A862" s="5"/>
      <c r="B862" s="5"/>
      <c r="C862" s="5"/>
      <c r="D862" s="5"/>
      <c r="E862" s="5"/>
    </row>
    <row r="863" spans="1:5" ht="15.75" customHeight="1">
      <c r="A863" s="5"/>
      <c r="B863" s="5"/>
      <c r="C863" s="5"/>
      <c r="D863" s="5"/>
      <c r="E863" s="5"/>
    </row>
    <row r="864" spans="1:5" ht="15.75" customHeight="1">
      <c r="A864" s="5"/>
      <c r="B864" s="5"/>
      <c r="C864" s="5"/>
      <c r="D864" s="5"/>
      <c r="E864" s="5"/>
    </row>
    <row r="865" spans="1:5" ht="15.75" customHeight="1">
      <c r="A865" s="5"/>
      <c r="B865" s="5"/>
      <c r="C865" s="5"/>
      <c r="D865" s="5"/>
      <c r="E865" s="5"/>
    </row>
    <row r="866" spans="1:5" ht="15.75" customHeight="1">
      <c r="A866" s="5"/>
      <c r="B866" s="5"/>
      <c r="C866" s="5"/>
      <c r="D866" s="5"/>
      <c r="E866" s="5"/>
    </row>
    <row r="867" spans="1:5" ht="15.75" customHeight="1">
      <c r="A867" s="5"/>
      <c r="B867" s="5"/>
      <c r="C867" s="5"/>
      <c r="D867" s="5"/>
      <c r="E867" s="5"/>
    </row>
    <row r="868" spans="1:5" ht="15.75" customHeight="1">
      <c r="A868" s="5"/>
      <c r="B868" s="5"/>
      <c r="C868" s="5"/>
      <c r="D868" s="5"/>
      <c r="E868" s="5"/>
    </row>
    <row r="869" spans="1:5" ht="15.75" customHeight="1">
      <c r="A869" s="5"/>
      <c r="B869" s="5"/>
      <c r="C869" s="5"/>
      <c r="D869" s="5"/>
      <c r="E869" s="5"/>
    </row>
    <row r="870" spans="1:5" ht="15.75" customHeight="1">
      <c r="A870" s="5"/>
      <c r="B870" s="5"/>
      <c r="C870" s="5"/>
      <c r="D870" s="5"/>
      <c r="E870" s="5"/>
    </row>
    <row r="871" spans="1:5" ht="15.75" customHeight="1">
      <c r="A871" s="5"/>
      <c r="B871" s="5"/>
      <c r="C871" s="5"/>
      <c r="D871" s="5"/>
      <c r="E871" s="5"/>
    </row>
    <row r="872" spans="1:5" ht="15.75" customHeight="1">
      <c r="A872" s="5"/>
      <c r="B872" s="5"/>
      <c r="C872" s="5"/>
      <c r="D872" s="5"/>
      <c r="E872" s="5"/>
    </row>
    <row r="873" spans="1:5" ht="15.75" customHeight="1">
      <c r="A873" s="5"/>
      <c r="B873" s="5"/>
      <c r="C873" s="5"/>
      <c r="D873" s="5"/>
      <c r="E873" s="5"/>
    </row>
    <row r="874" spans="1:5" ht="15.75" customHeight="1">
      <c r="A874" s="5"/>
      <c r="B874" s="5"/>
      <c r="C874" s="5"/>
      <c r="D874" s="5"/>
      <c r="E874" s="5"/>
    </row>
    <row r="875" spans="1:5" ht="15.75" customHeight="1">
      <c r="A875" s="5"/>
      <c r="B875" s="5"/>
      <c r="C875" s="5"/>
      <c r="D875" s="5"/>
      <c r="E875" s="5"/>
    </row>
    <row r="876" spans="1:5" ht="15.75" customHeight="1">
      <c r="A876" s="5"/>
      <c r="B876" s="5"/>
      <c r="C876" s="5"/>
      <c r="D876" s="5"/>
      <c r="E876" s="5"/>
    </row>
    <row r="877" spans="1:5" ht="15.75" customHeight="1">
      <c r="A877" s="5"/>
      <c r="B877" s="5"/>
      <c r="C877" s="5"/>
      <c r="D877" s="5"/>
      <c r="E877" s="5"/>
    </row>
    <row r="878" spans="1:5" ht="15.75" customHeight="1">
      <c r="A878" s="5"/>
      <c r="B878" s="5"/>
      <c r="C878" s="5"/>
      <c r="D878" s="5"/>
      <c r="E878" s="5"/>
    </row>
    <row r="879" spans="1:5" ht="15.75" customHeight="1">
      <c r="A879" s="5"/>
      <c r="B879" s="5"/>
      <c r="C879" s="5"/>
      <c r="D879" s="5"/>
      <c r="E879" s="5"/>
    </row>
    <row r="880" spans="1:5" ht="15.75" customHeight="1">
      <c r="A880" s="5"/>
      <c r="B880" s="5"/>
      <c r="C880" s="5"/>
      <c r="D880" s="5"/>
      <c r="E880" s="5"/>
    </row>
    <row r="881" spans="1:5" ht="15.75" customHeight="1">
      <c r="A881" s="5"/>
      <c r="B881" s="5"/>
      <c r="C881" s="5"/>
      <c r="D881" s="5"/>
      <c r="E881" s="5"/>
    </row>
    <row r="882" spans="1:5" ht="15.75" customHeight="1">
      <c r="A882" s="5"/>
      <c r="B882" s="5"/>
      <c r="C882" s="5"/>
      <c r="D882" s="5"/>
      <c r="E882" s="5"/>
    </row>
    <row r="883" spans="1:5" ht="15.75" customHeight="1">
      <c r="A883" s="5"/>
      <c r="B883" s="5"/>
      <c r="C883" s="5"/>
      <c r="D883" s="5"/>
      <c r="E883" s="5"/>
    </row>
    <row r="884" spans="1:5" ht="15.75" customHeight="1">
      <c r="A884" s="5"/>
      <c r="B884" s="5"/>
      <c r="C884" s="5"/>
      <c r="D884" s="5"/>
      <c r="E884" s="5"/>
    </row>
    <row r="885" spans="1:5" ht="15.75" customHeight="1">
      <c r="A885" s="5"/>
      <c r="B885" s="5"/>
      <c r="C885" s="5"/>
      <c r="D885" s="5"/>
      <c r="E885" s="5"/>
    </row>
    <row r="886" spans="1:5" ht="15.75" customHeight="1">
      <c r="A886" s="5"/>
      <c r="B886" s="5"/>
      <c r="C886" s="5"/>
      <c r="D886" s="5"/>
      <c r="E886" s="5"/>
    </row>
    <row r="887" spans="1:5" ht="15.75" customHeight="1">
      <c r="A887" s="5"/>
      <c r="B887" s="5"/>
      <c r="C887" s="5"/>
      <c r="D887" s="5"/>
      <c r="E887" s="5"/>
    </row>
    <row r="888" spans="1:5" ht="15.75" customHeight="1">
      <c r="A888" s="5"/>
      <c r="B888" s="5"/>
      <c r="C888" s="5"/>
      <c r="D888" s="5"/>
      <c r="E888" s="5"/>
    </row>
    <row r="889" spans="1:5" ht="15.75" customHeight="1">
      <c r="A889" s="5"/>
      <c r="B889" s="5"/>
      <c r="C889" s="5"/>
      <c r="D889" s="5"/>
      <c r="E889" s="5"/>
    </row>
    <row r="890" spans="1:5" ht="15.75" customHeight="1">
      <c r="A890" s="5"/>
      <c r="B890" s="5"/>
      <c r="C890" s="5"/>
      <c r="D890" s="5"/>
      <c r="E890" s="5"/>
    </row>
    <row r="891" spans="1:5" ht="15.75" customHeight="1">
      <c r="A891" s="5"/>
      <c r="B891" s="5"/>
      <c r="C891" s="5"/>
      <c r="D891" s="5"/>
      <c r="E891" s="5"/>
    </row>
    <row r="892" spans="1:5" ht="15.75" customHeight="1">
      <c r="A892" s="5"/>
      <c r="B892" s="5"/>
      <c r="C892" s="5"/>
      <c r="D892" s="5"/>
      <c r="E892" s="5"/>
    </row>
    <row r="893" spans="1:5" ht="15.75" customHeight="1">
      <c r="A893" s="5"/>
      <c r="B893" s="5"/>
      <c r="C893" s="5"/>
      <c r="D893" s="5"/>
      <c r="E893" s="5"/>
    </row>
    <row r="894" spans="1:5" ht="15.75" customHeight="1">
      <c r="A894" s="5"/>
      <c r="B894" s="5"/>
      <c r="C894" s="5"/>
      <c r="D894" s="5"/>
      <c r="E894" s="5"/>
    </row>
    <row r="895" spans="1:5" ht="15.75" customHeight="1">
      <c r="A895" s="5"/>
      <c r="B895" s="5"/>
      <c r="C895" s="5"/>
      <c r="D895" s="5"/>
      <c r="E895" s="5"/>
    </row>
    <row r="896" spans="1:5" ht="15.75" customHeight="1">
      <c r="A896" s="5"/>
      <c r="B896" s="5"/>
      <c r="C896" s="5"/>
      <c r="D896" s="5"/>
      <c r="E896" s="5"/>
    </row>
    <row r="897" spans="1:5" ht="15.75" customHeight="1">
      <c r="A897" s="5"/>
      <c r="B897" s="5"/>
      <c r="C897" s="5"/>
      <c r="D897" s="5"/>
      <c r="E897" s="5"/>
    </row>
    <row r="898" spans="1:5" ht="15.75" customHeight="1">
      <c r="A898" s="5"/>
      <c r="B898" s="5"/>
      <c r="C898" s="5"/>
      <c r="D898" s="5"/>
      <c r="E898" s="5"/>
    </row>
    <row r="899" spans="1:5" ht="15.75" customHeight="1">
      <c r="A899" s="5"/>
      <c r="B899" s="5"/>
      <c r="C899" s="5"/>
      <c r="D899" s="5"/>
      <c r="E899" s="5"/>
    </row>
    <row r="900" spans="1:5" ht="15.75" customHeight="1">
      <c r="A900" s="5"/>
      <c r="B900" s="5"/>
      <c r="C900" s="5"/>
      <c r="D900" s="5"/>
      <c r="E900" s="5"/>
    </row>
    <row r="901" spans="1:5" ht="15.75" customHeight="1">
      <c r="A901" s="5"/>
      <c r="B901" s="5"/>
      <c r="C901" s="5"/>
      <c r="D901" s="5"/>
      <c r="E901" s="5"/>
    </row>
    <row r="902" spans="1:5" ht="15.75" customHeight="1">
      <c r="A902" s="5"/>
      <c r="B902" s="5"/>
      <c r="C902" s="5"/>
      <c r="D902" s="5"/>
      <c r="E902" s="5"/>
    </row>
    <row r="903" spans="1:5" ht="15.75" customHeight="1">
      <c r="A903" s="5"/>
      <c r="B903" s="5"/>
      <c r="C903" s="5"/>
      <c r="D903" s="5"/>
      <c r="E903" s="5"/>
    </row>
    <row r="904" spans="1:5" ht="15.75" customHeight="1">
      <c r="A904" s="5"/>
      <c r="B904" s="5"/>
      <c r="C904" s="5"/>
      <c r="D904" s="5"/>
      <c r="E904" s="5"/>
    </row>
    <row r="905" spans="1:5" ht="15.75" customHeight="1">
      <c r="A905" s="5"/>
      <c r="B905" s="5"/>
      <c r="C905" s="5"/>
      <c r="D905" s="5"/>
      <c r="E905" s="5"/>
    </row>
    <row r="906" spans="1:5" ht="15.75" customHeight="1">
      <c r="A906" s="5"/>
      <c r="B906" s="5"/>
      <c r="C906" s="5"/>
      <c r="D906" s="5"/>
      <c r="E906" s="5"/>
    </row>
    <row r="907" spans="1:5" ht="15.75" customHeight="1">
      <c r="A907" s="5"/>
      <c r="B907" s="5"/>
      <c r="C907" s="5"/>
      <c r="D907" s="5"/>
      <c r="E907" s="5"/>
    </row>
    <row r="908" spans="1:5" ht="15.75" customHeight="1">
      <c r="A908" s="5"/>
      <c r="B908" s="5"/>
      <c r="C908" s="5"/>
      <c r="D908" s="5"/>
      <c r="E908" s="5"/>
    </row>
    <row r="909" spans="1:5" ht="15.75" customHeight="1">
      <c r="A909" s="5"/>
      <c r="B909" s="5"/>
      <c r="C909" s="5"/>
      <c r="D909" s="5"/>
      <c r="E909" s="5"/>
    </row>
    <row r="910" spans="1:5" ht="15.75" customHeight="1">
      <c r="A910" s="5"/>
      <c r="B910" s="5"/>
      <c r="C910" s="5"/>
      <c r="D910" s="5"/>
      <c r="E910" s="5"/>
    </row>
    <row r="911" spans="1:5" ht="15.75" customHeight="1">
      <c r="A911" s="5"/>
      <c r="B911" s="5"/>
      <c r="C911" s="5"/>
      <c r="D911" s="5"/>
      <c r="E911" s="5"/>
    </row>
    <row r="912" spans="1:5" ht="15.75" customHeight="1">
      <c r="A912" s="5"/>
      <c r="B912" s="5"/>
      <c r="C912" s="5"/>
      <c r="D912" s="5"/>
      <c r="E912" s="5"/>
    </row>
    <row r="913" spans="1:5" ht="15.75" customHeight="1">
      <c r="A913" s="5"/>
      <c r="B913" s="5"/>
      <c r="C913" s="5"/>
      <c r="D913" s="5"/>
      <c r="E913" s="5"/>
    </row>
    <row r="914" spans="1:5" ht="15.75" customHeight="1">
      <c r="A914" s="5"/>
      <c r="B914" s="5"/>
      <c r="C914" s="5"/>
      <c r="D914" s="5"/>
      <c r="E914" s="5"/>
    </row>
    <row r="915" spans="1:5" ht="15.75" customHeight="1">
      <c r="A915" s="5"/>
      <c r="B915" s="5"/>
      <c r="C915" s="5"/>
      <c r="D915" s="5"/>
      <c r="E915" s="5"/>
    </row>
    <row r="916" spans="1:5" ht="15.75" customHeight="1">
      <c r="A916" s="5"/>
      <c r="B916" s="5"/>
      <c r="C916" s="5"/>
      <c r="D916" s="5"/>
      <c r="E916" s="5"/>
    </row>
    <row r="917" spans="1:5" ht="15.75" customHeight="1">
      <c r="A917" s="5"/>
      <c r="B917" s="5"/>
      <c r="C917" s="5"/>
      <c r="D917" s="5"/>
      <c r="E917" s="5"/>
    </row>
    <row r="918" spans="1:5" ht="15.75" customHeight="1">
      <c r="A918" s="5"/>
      <c r="B918" s="5"/>
      <c r="C918" s="5"/>
      <c r="D918" s="5"/>
      <c r="E918" s="5"/>
    </row>
    <row r="919" spans="1:5" ht="15.75" customHeight="1">
      <c r="A919" s="5"/>
      <c r="B919" s="5"/>
      <c r="C919" s="5"/>
      <c r="D919" s="5"/>
      <c r="E919" s="5"/>
    </row>
    <row r="920" spans="1:5" ht="15.75" customHeight="1">
      <c r="A920" s="5"/>
      <c r="B920" s="5"/>
      <c r="C920" s="5"/>
      <c r="D920" s="5"/>
      <c r="E920" s="5"/>
    </row>
    <row r="921" spans="1:5" ht="15.75" customHeight="1">
      <c r="A921" s="5"/>
      <c r="B921" s="5"/>
      <c r="C921" s="5"/>
      <c r="D921" s="5"/>
      <c r="E921" s="5"/>
    </row>
    <row r="922" spans="1:5" ht="15.75" customHeight="1">
      <c r="A922" s="5"/>
      <c r="B922" s="5"/>
      <c r="C922" s="5"/>
      <c r="D922" s="5"/>
      <c r="E922" s="5"/>
    </row>
    <row r="923" spans="1:5" ht="15.75" customHeight="1">
      <c r="A923" s="5"/>
      <c r="B923" s="5"/>
      <c r="C923" s="5"/>
      <c r="D923" s="5"/>
      <c r="E923" s="5"/>
    </row>
    <row r="924" spans="1:5" ht="15.75" customHeight="1">
      <c r="A924" s="5"/>
      <c r="B924" s="5"/>
      <c r="C924" s="5"/>
      <c r="D924" s="5"/>
      <c r="E924" s="5"/>
    </row>
    <row r="925" spans="1:5" ht="15.75" customHeight="1">
      <c r="A925" s="5"/>
      <c r="B925" s="5"/>
      <c r="C925" s="5"/>
      <c r="D925" s="5"/>
      <c r="E925" s="5"/>
    </row>
    <row r="926" spans="1:5" ht="15.75" customHeight="1">
      <c r="A926" s="5"/>
      <c r="B926" s="5"/>
      <c r="C926" s="5"/>
      <c r="D926" s="5"/>
      <c r="E926" s="5"/>
    </row>
    <row r="927" spans="1:5" ht="15.75" customHeight="1">
      <c r="A927" s="5"/>
      <c r="B927" s="5"/>
      <c r="C927" s="5"/>
      <c r="D927" s="5"/>
      <c r="E927" s="5"/>
    </row>
    <row r="928" spans="1:5" ht="15.75" customHeight="1">
      <c r="A928" s="5"/>
      <c r="B928" s="5"/>
      <c r="C928" s="5"/>
      <c r="D928" s="5"/>
      <c r="E928" s="5"/>
    </row>
    <row r="929" spans="1:5" ht="15.75" customHeight="1">
      <c r="A929" s="5"/>
      <c r="B929" s="5"/>
      <c r="C929" s="5"/>
      <c r="D929" s="5"/>
      <c r="E929" s="5"/>
    </row>
    <row r="930" spans="1:5" ht="15.75" customHeight="1">
      <c r="A930" s="5"/>
      <c r="B930" s="5"/>
      <c r="C930" s="5"/>
      <c r="D930" s="5"/>
      <c r="E930" s="5"/>
    </row>
    <row r="931" spans="1:5" ht="15.75" customHeight="1">
      <c r="A931" s="5"/>
      <c r="B931" s="5"/>
      <c r="C931" s="5"/>
      <c r="D931" s="5"/>
      <c r="E931" s="5"/>
    </row>
    <row r="932" spans="1:5" ht="15.75" customHeight="1">
      <c r="A932" s="5"/>
      <c r="B932" s="5"/>
      <c r="C932" s="5"/>
      <c r="D932" s="5"/>
      <c r="E932" s="5"/>
    </row>
    <row r="933" spans="1:5" ht="15.75" customHeight="1">
      <c r="A933" s="5"/>
      <c r="B933" s="5"/>
      <c r="C933" s="5"/>
      <c r="D933" s="5"/>
      <c r="E933" s="5"/>
    </row>
    <row r="934" spans="1:5" ht="15.75" customHeight="1">
      <c r="A934" s="5"/>
      <c r="B934" s="5"/>
      <c r="C934" s="5"/>
      <c r="D934" s="5"/>
      <c r="E934" s="5"/>
    </row>
    <row r="935" spans="1:5" ht="15.75" customHeight="1">
      <c r="A935" s="5"/>
      <c r="B935" s="5"/>
      <c r="C935" s="5"/>
      <c r="D935" s="5"/>
      <c r="E935" s="5"/>
    </row>
    <row r="936" spans="1:5" ht="15.75" customHeight="1">
      <c r="A936" s="5"/>
      <c r="B936" s="5"/>
      <c r="C936" s="5"/>
      <c r="D936" s="5"/>
      <c r="E936" s="5"/>
    </row>
    <row r="937" spans="1:5" ht="15.75" customHeight="1">
      <c r="A937" s="5"/>
      <c r="B937" s="5"/>
      <c r="C937" s="5"/>
      <c r="D937" s="5"/>
      <c r="E937" s="5"/>
    </row>
    <row r="938" spans="1:5" ht="15.75" customHeight="1">
      <c r="A938" s="5"/>
      <c r="B938" s="5"/>
      <c r="C938" s="5"/>
      <c r="D938" s="5"/>
      <c r="E938" s="5"/>
    </row>
    <row r="939" spans="1:5" ht="15.75" customHeight="1">
      <c r="A939" s="5"/>
      <c r="B939" s="5"/>
      <c r="C939" s="5"/>
      <c r="D939" s="5"/>
      <c r="E939" s="5"/>
    </row>
    <row r="940" spans="1:5" ht="15.75" customHeight="1">
      <c r="A940" s="5"/>
      <c r="B940" s="5"/>
      <c r="C940" s="5"/>
      <c r="D940" s="5"/>
      <c r="E940" s="5"/>
    </row>
    <row r="941" spans="1:5" ht="15.75" customHeight="1">
      <c r="A941" s="5"/>
      <c r="B941" s="5"/>
      <c r="C941" s="5"/>
      <c r="D941" s="5"/>
      <c r="E941" s="5"/>
    </row>
    <row r="942" spans="1:5" ht="15.75" customHeight="1">
      <c r="A942" s="5"/>
      <c r="B942" s="5"/>
      <c r="C942" s="5"/>
      <c r="D942" s="5"/>
      <c r="E942" s="5"/>
    </row>
    <row r="943" spans="1:5" ht="15.75" customHeight="1">
      <c r="A943" s="5"/>
      <c r="B943" s="5"/>
      <c r="C943" s="5"/>
      <c r="D943" s="5"/>
      <c r="E943" s="5"/>
    </row>
    <row r="944" spans="1:5" ht="15.75" customHeight="1">
      <c r="A944" s="5"/>
      <c r="B944" s="5"/>
      <c r="C944" s="5"/>
      <c r="D944" s="5"/>
      <c r="E944" s="5"/>
    </row>
    <row r="945" spans="1:5" ht="15.75" customHeight="1">
      <c r="A945" s="5"/>
      <c r="B945" s="5"/>
      <c r="C945" s="5"/>
      <c r="D945" s="5"/>
      <c r="E945" s="5"/>
    </row>
    <row r="946" spans="1:5" ht="15.75" customHeight="1">
      <c r="A946" s="5"/>
      <c r="B946" s="5"/>
      <c r="C946" s="5"/>
      <c r="D946" s="5"/>
      <c r="E946" s="5"/>
    </row>
    <row r="947" spans="1:5" ht="15.75" customHeight="1">
      <c r="A947" s="5"/>
      <c r="B947" s="5"/>
      <c r="C947" s="5"/>
      <c r="D947" s="5"/>
      <c r="E947" s="5"/>
    </row>
    <row r="948" spans="1:5" ht="15.75" customHeight="1">
      <c r="A948" s="5"/>
      <c r="B948" s="5"/>
      <c r="C948" s="5"/>
      <c r="D948" s="5"/>
      <c r="E948" s="5"/>
    </row>
    <row r="949" spans="1:5" ht="15.75" customHeight="1">
      <c r="A949" s="5"/>
      <c r="B949" s="5"/>
      <c r="C949" s="5"/>
      <c r="D949" s="5"/>
      <c r="E949" s="5"/>
    </row>
    <row r="950" spans="1:5" ht="15.75" customHeight="1">
      <c r="A950" s="5"/>
      <c r="B950" s="5"/>
      <c r="C950" s="5"/>
      <c r="D950" s="5"/>
      <c r="E950" s="5"/>
    </row>
    <row r="951" spans="1:5" ht="15.75" customHeight="1">
      <c r="A951" s="5"/>
      <c r="B951" s="5"/>
      <c r="C951" s="5"/>
      <c r="D951" s="5"/>
      <c r="E951" s="5"/>
    </row>
    <row r="952" spans="1:5" ht="15.75" customHeight="1">
      <c r="A952" s="5"/>
      <c r="B952" s="5"/>
      <c r="C952" s="5"/>
      <c r="D952" s="5"/>
      <c r="E952" s="5"/>
    </row>
    <row r="953" spans="1:5" ht="15.75" customHeight="1">
      <c r="A953" s="5"/>
      <c r="B953" s="5"/>
      <c r="C953" s="5"/>
      <c r="D953" s="5"/>
      <c r="E953" s="5"/>
    </row>
    <row r="954" spans="1:5" ht="15.75" customHeight="1">
      <c r="A954" s="5"/>
      <c r="B954" s="5"/>
      <c r="C954" s="5"/>
      <c r="D954" s="5"/>
      <c r="E954" s="5"/>
    </row>
    <row r="955" spans="1:5" ht="15.75" customHeight="1">
      <c r="A955" s="5"/>
      <c r="B955" s="5"/>
      <c r="C955" s="5"/>
      <c r="D955" s="5"/>
      <c r="E955" s="5"/>
    </row>
    <row r="956" spans="1:5" ht="15.75" customHeight="1">
      <c r="A956" s="5"/>
      <c r="B956" s="5"/>
      <c r="C956" s="5"/>
      <c r="D956" s="5"/>
      <c r="E956" s="5"/>
    </row>
    <row r="957" spans="1:5" ht="15.75" customHeight="1">
      <c r="A957" s="5"/>
      <c r="B957" s="5"/>
      <c r="C957" s="5"/>
      <c r="D957" s="5"/>
      <c r="E957" s="5"/>
    </row>
    <row r="958" spans="1:5" ht="15.75" customHeight="1">
      <c r="A958" s="5"/>
      <c r="B958" s="5"/>
      <c r="C958" s="5"/>
      <c r="D958" s="5"/>
      <c r="E958" s="5"/>
    </row>
    <row r="959" spans="1:5" ht="15.75" customHeight="1">
      <c r="A959" s="5"/>
      <c r="B959" s="5"/>
      <c r="C959" s="5"/>
      <c r="D959" s="5"/>
      <c r="E959" s="5"/>
    </row>
    <row r="960" spans="1:5" ht="15.75" customHeight="1">
      <c r="A960" s="5"/>
      <c r="B960" s="5"/>
      <c r="C960" s="5"/>
      <c r="D960" s="5"/>
      <c r="E960" s="5"/>
    </row>
    <row r="961" spans="1:5" ht="15.75" customHeight="1">
      <c r="A961" s="5"/>
      <c r="B961" s="5"/>
      <c r="C961" s="5"/>
      <c r="D961" s="5"/>
      <c r="E961" s="5"/>
    </row>
    <row r="962" spans="1:5" ht="15.75" customHeight="1">
      <c r="A962" s="5"/>
      <c r="B962" s="5"/>
      <c r="C962" s="5"/>
      <c r="D962" s="5"/>
      <c r="E962" s="5"/>
    </row>
    <row r="963" spans="1:5" ht="15.75" customHeight="1">
      <c r="A963" s="5"/>
      <c r="B963" s="5"/>
      <c r="C963" s="5"/>
      <c r="D963" s="5"/>
      <c r="E963" s="5"/>
    </row>
    <row r="964" spans="1:5" ht="15.75" customHeight="1">
      <c r="A964" s="5"/>
      <c r="B964" s="5"/>
      <c r="C964" s="5"/>
      <c r="D964" s="5"/>
      <c r="E964" s="5"/>
    </row>
    <row r="965" spans="1:5" ht="15.75" customHeight="1">
      <c r="A965" s="5"/>
      <c r="B965" s="5"/>
      <c r="C965" s="5"/>
      <c r="D965" s="5"/>
      <c r="E965" s="5"/>
    </row>
    <row r="966" spans="1:5" ht="15.75" customHeight="1">
      <c r="A966" s="5"/>
      <c r="B966" s="5"/>
      <c r="C966" s="5"/>
      <c r="D966" s="5"/>
      <c r="E966" s="5"/>
    </row>
    <row r="967" spans="1:5" ht="15.75" customHeight="1">
      <c r="A967" s="5"/>
      <c r="B967" s="5"/>
      <c r="C967" s="5"/>
      <c r="D967" s="5"/>
      <c r="E967" s="5"/>
    </row>
    <row r="968" spans="1:5" ht="15.75" customHeight="1">
      <c r="A968" s="5"/>
      <c r="B968" s="5"/>
      <c r="C968" s="5"/>
      <c r="D968" s="5"/>
      <c r="E968" s="5"/>
    </row>
    <row r="969" spans="1:5" ht="15.75" customHeight="1">
      <c r="A969" s="5"/>
      <c r="B969" s="5"/>
      <c r="C969" s="5"/>
      <c r="D969" s="5"/>
      <c r="E969" s="5"/>
    </row>
    <row r="970" spans="1:5" ht="15.75" customHeight="1">
      <c r="A970" s="5"/>
      <c r="B970" s="5"/>
      <c r="C970" s="5"/>
      <c r="D970" s="5"/>
      <c r="E970" s="5"/>
    </row>
    <row r="971" spans="1:5" ht="15.75" customHeight="1">
      <c r="A971" s="5"/>
      <c r="B971" s="5"/>
      <c r="C971" s="5"/>
      <c r="D971" s="5"/>
      <c r="E971" s="5"/>
    </row>
    <row r="972" spans="1:5" ht="15.75" customHeight="1">
      <c r="A972" s="5"/>
      <c r="B972" s="5"/>
      <c r="C972" s="5"/>
      <c r="D972" s="5"/>
      <c r="E972" s="5"/>
    </row>
    <row r="973" spans="1:5" ht="15.75" customHeight="1">
      <c r="A973" s="5"/>
      <c r="B973" s="5"/>
      <c r="C973" s="5"/>
      <c r="D973" s="5"/>
      <c r="E973" s="5"/>
    </row>
    <row r="974" spans="1:5" ht="15.75" customHeight="1">
      <c r="A974" s="5"/>
      <c r="B974" s="5"/>
      <c r="C974" s="5"/>
      <c r="D974" s="5"/>
      <c r="E974" s="5"/>
    </row>
    <row r="975" spans="1:5" ht="15.75" customHeight="1">
      <c r="A975" s="5"/>
      <c r="B975" s="5"/>
      <c r="C975" s="5"/>
      <c r="D975" s="5"/>
      <c r="E975" s="5"/>
    </row>
    <row r="976" spans="1:5" ht="15.75" customHeight="1">
      <c r="A976" s="5"/>
      <c r="B976" s="5"/>
      <c r="C976" s="5"/>
      <c r="D976" s="5"/>
      <c r="E976" s="5"/>
    </row>
    <row r="977" spans="1:5" ht="15.75" customHeight="1">
      <c r="A977" s="5"/>
      <c r="B977" s="5"/>
      <c r="C977" s="5"/>
      <c r="D977" s="5"/>
      <c r="E977" s="5"/>
    </row>
    <row r="978" spans="1:5" ht="15.75" customHeight="1">
      <c r="A978" s="5"/>
      <c r="B978" s="5"/>
      <c r="C978" s="5"/>
      <c r="D978" s="5"/>
      <c r="E978" s="5"/>
    </row>
    <row r="979" spans="1:5" ht="15.75" customHeight="1">
      <c r="A979" s="5"/>
      <c r="B979" s="5"/>
      <c r="C979" s="5"/>
      <c r="D979" s="5"/>
      <c r="E979" s="5"/>
    </row>
    <row r="980" spans="1:5" ht="15.75" customHeight="1">
      <c r="A980" s="5"/>
      <c r="B980" s="5"/>
      <c r="C980" s="5"/>
      <c r="D980" s="5"/>
      <c r="E980" s="5"/>
    </row>
    <row r="981" spans="1:5" ht="15.75" customHeight="1">
      <c r="A981" s="5"/>
      <c r="B981" s="5"/>
      <c r="C981" s="5"/>
      <c r="D981" s="5"/>
      <c r="E981" s="5"/>
    </row>
    <row r="982" spans="1:5" ht="15.75" customHeight="1">
      <c r="A982" s="5"/>
      <c r="B982" s="5"/>
      <c r="C982" s="5"/>
      <c r="D982" s="5"/>
      <c r="E982" s="5"/>
    </row>
    <row r="983" spans="1:5" ht="15.75" customHeight="1">
      <c r="A983" s="5"/>
      <c r="B983" s="5"/>
      <c r="C983" s="5"/>
      <c r="D983" s="5"/>
      <c r="E983" s="5"/>
    </row>
    <row r="984" spans="1:5" ht="15.75" customHeight="1">
      <c r="A984" s="5"/>
      <c r="B984" s="5"/>
      <c r="C984" s="5"/>
      <c r="D984" s="5"/>
      <c r="E984" s="5"/>
    </row>
    <row r="985" spans="1:5" ht="15.75" customHeight="1">
      <c r="A985" s="5"/>
      <c r="B985" s="5"/>
      <c r="C985" s="5"/>
      <c r="D985" s="5"/>
      <c r="E985" s="5"/>
    </row>
    <row r="986" spans="1:5" ht="15.75" customHeight="1">
      <c r="A986" s="5"/>
      <c r="B986" s="5"/>
      <c r="C986" s="5"/>
      <c r="D986" s="5"/>
      <c r="E986" s="5"/>
    </row>
    <row r="987" spans="1:5" ht="15.75" customHeight="1">
      <c r="A987" s="5"/>
      <c r="B987" s="5"/>
      <c r="C987" s="5"/>
      <c r="D987" s="5"/>
      <c r="E987" s="5"/>
    </row>
    <row r="988" spans="1:5" ht="15.75" customHeight="1">
      <c r="A988" s="5"/>
      <c r="B988" s="5"/>
      <c r="C988" s="5"/>
      <c r="D988" s="5"/>
      <c r="E988" s="5"/>
    </row>
    <row r="989" spans="1:5" ht="15.75" customHeight="1">
      <c r="A989" s="5"/>
      <c r="B989" s="5"/>
      <c r="C989" s="5"/>
      <c r="D989" s="5"/>
      <c r="E989" s="5"/>
    </row>
    <row r="990" spans="1:5" ht="15.75" customHeight="1">
      <c r="A990" s="5"/>
      <c r="B990" s="5"/>
      <c r="C990" s="5"/>
      <c r="D990" s="5"/>
      <c r="E990" s="5"/>
    </row>
    <row r="991" spans="1:5" ht="15.75" customHeight="1">
      <c r="A991" s="5"/>
      <c r="B991" s="5"/>
      <c r="C991" s="5"/>
      <c r="D991" s="5"/>
      <c r="E991" s="5"/>
    </row>
    <row r="992" spans="1:5" ht="15.75" customHeight="1">
      <c r="A992" s="5"/>
      <c r="B992" s="5"/>
      <c r="C992" s="5"/>
      <c r="D992" s="5"/>
      <c r="E992" s="5"/>
    </row>
    <row r="993" spans="1:5" ht="15.75" customHeight="1">
      <c r="A993" s="5"/>
      <c r="B993" s="5"/>
      <c r="C993" s="5"/>
      <c r="D993" s="5"/>
      <c r="E993" s="5"/>
    </row>
    <row r="994" spans="1:5" ht="15.75" customHeight="1">
      <c r="A994" s="5"/>
      <c r="B994" s="5"/>
      <c r="C994" s="5"/>
      <c r="D994" s="5"/>
      <c r="E994" s="5"/>
    </row>
    <row r="995" spans="1:5" ht="15.75" customHeight="1">
      <c r="A995" s="5"/>
      <c r="B995" s="5"/>
      <c r="C995" s="5"/>
      <c r="D995" s="5"/>
      <c r="E995" s="5"/>
    </row>
    <row r="996" spans="1:5" ht="15.75" customHeight="1">
      <c r="A996" s="5"/>
      <c r="B996" s="5"/>
      <c r="C996" s="5"/>
      <c r="D996" s="5"/>
      <c r="E996" s="5"/>
    </row>
    <row r="997" spans="1:5" ht="15.75" customHeight="1">
      <c r="A997" s="5"/>
      <c r="B997" s="5"/>
      <c r="C997" s="5"/>
      <c r="D997" s="5"/>
      <c r="E997" s="5"/>
    </row>
    <row r="998" spans="1:5" ht="15.75" customHeight="1">
      <c r="A998" s="5"/>
      <c r="B998" s="5"/>
      <c r="C998" s="5"/>
      <c r="D998" s="5"/>
      <c r="E998" s="5"/>
    </row>
    <row r="999" spans="1:5" ht="15.75" customHeight="1">
      <c r="A999" s="5"/>
      <c r="B999" s="5"/>
      <c r="C999" s="5"/>
      <c r="D999" s="5"/>
      <c r="E999" s="5"/>
    </row>
    <row r="1000" spans="1:5" ht="15.75" customHeight="1">
      <c r="A1000" s="5"/>
      <c r="B1000" s="5"/>
      <c r="C1000" s="5"/>
      <c r="D1000" s="5"/>
      <c r="E1000" s="5"/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O923"/>
  <sheetViews>
    <sheetView workbookViewId="0">
      <pane xSplit="2" ySplit="1" topLeftCell="C16" activePane="bottomRight" state="frozen"/>
      <selection pane="topRight" activeCell="C1" sqref="C1"/>
      <selection pane="bottomLeft" activeCell="A2" sqref="A2"/>
      <selection pane="bottomRight" activeCell="D32" sqref="D32"/>
    </sheetView>
  </sheetViews>
  <sheetFormatPr baseColWidth="10" defaultColWidth="12.5703125" defaultRowHeight="15" customHeight="1"/>
  <cols>
    <col min="1" max="1" width="12.5703125" customWidth="1"/>
    <col min="2" max="2" width="8" customWidth="1"/>
    <col min="3" max="3" width="6" customWidth="1"/>
    <col min="4" max="4" width="16.5703125" customWidth="1"/>
    <col min="5" max="67" width="6" customWidth="1"/>
  </cols>
  <sheetData>
    <row r="1" spans="1:67" ht="15.75" customHeight="1">
      <c r="A1" s="16" t="s">
        <v>1</v>
      </c>
      <c r="B1" s="17" t="s">
        <v>31</v>
      </c>
      <c r="C1" s="18"/>
      <c r="D1" s="18" t="s">
        <v>1094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</row>
    <row r="2" spans="1:67" ht="15" customHeight="1">
      <c r="A2" s="19">
        <v>1</v>
      </c>
      <c r="B2" s="9">
        <f t="shared" ref="B2:B923" si="0">SUM(C2:CZ2)</f>
        <v>45</v>
      </c>
      <c r="C2" s="15"/>
      <c r="D2" s="1">
        <v>45</v>
      </c>
      <c r="E2" s="15"/>
    </row>
    <row r="3" spans="1:67" ht="15" customHeight="1">
      <c r="A3" s="19">
        <v>2</v>
      </c>
      <c r="B3" s="9">
        <f t="shared" si="0"/>
        <v>30</v>
      </c>
      <c r="C3" s="15"/>
      <c r="D3" s="1">
        <v>30</v>
      </c>
      <c r="E3" s="15"/>
    </row>
    <row r="4" spans="1:67" ht="15" customHeight="1">
      <c r="A4" s="19">
        <v>3</v>
      </c>
      <c r="B4" s="9">
        <f t="shared" si="0"/>
        <v>45</v>
      </c>
      <c r="C4" s="19"/>
      <c r="D4" s="1">
        <v>45</v>
      </c>
      <c r="E4" s="15"/>
    </row>
    <row r="5" spans="1:67" ht="15" customHeight="1">
      <c r="A5" s="19">
        <v>4</v>
      </c>
      <c r="B5" s="9">
        <f t="shared" si="0"/>
        <v>30</v>
      </c>
      <c r="C5" s="15"/>
      <c r="D5" s="1">
        <v>30</v>
      </c>
      <c r="E5" s="15"/>
    </row>
    <row r="6" spans="1:67" ht="15" customHeight="1">
      <c r="A6" s="19">
        <v>5</v>
      </c>
      <c r="B6" s="9">
        <f t="shared" si="0"/>
        <v>45</v>
      </c>
      <c r="C6" s="15"/>
      <c r="D6" s="1">
        <v>45</v>
      </c>
      <c r="E6" s="15"/>
    </row>
    <row r="7" spans="1:67" ht="15" customHeight="1">
      <c r="A7" s="19">
        <v>6</v>
      </c>
      <c r="B7" s="9">
        <f t="shared" si="0"/>
        <v>45</v>
      </c>
      <c r="C7" s="15"/>
      <c r="D7" s="1">
        <v>45</v>
      </c>
      <c r="E7" s="15"/>
    </row>
    <row r="8" spans="1:67" ht="15" customHeight="1">
      <c r="A8" s="19">
        <v>7</v>
      </c>
      <c r="B8" s="9">
        <f t="shared" si="0"/>
        <v>30</v>
      </c>
      <c r="C8" s="15"/>
      <c r="D8" s="1">
        <v>30</v>
      </c>
      <c r="E8" s="15"/>
    </row>
    <row r="9" spans="1:67" ht="15" customHeight="1">
      <c r="A9" s="19">
        <v>8</v>
      </c>
      <c r="B9" s="9">
        <f t="shared" si="0"/>
        <v>30</v>
      </c>
      <c r="D9" s="1">
        <v>30</v>
      </c>
      <c r="E9" s="5"/>
    </row>
    <row r="10" spans="1:67" ht="15" customHeight="1">
      <c r="A10" s="19">
        <v>9</v>
      </c>
      <c r="B10" s="9">
        <f t="shared" si="0"/>
        <v>30</v>
      </c>
      <c r="D10" s="1">
        <v>30</v>
      </c>
      <c r="E10" s="5"/>
    </row>
    <row r="11" spans="1:67" ht="15.75" customHeight="1">
      <c r="A11" s="19">
        <v>10</v>
      </c>
      <c r="B11" s="9">
        <f t="shared" si="0"/>
        <v>30</v>
      </c>
      <c r="C11" s="5"/>
      <c r="D11" s="1">
        <v>30</v>
      </c>
    </row>
    <row r="12" spans="1:67" ht="15.75" customHeight="1">
      <c r="A12" s="19">
        <v>11</v>
      </c>
      <c r="B12" s="9">
        <f t="shared" si="0"/>
        <v>60</v>
      </c>
      <c r="C12" s="5"/>
      <c r="D12" s="1">
        <v>60</v>
      </c>
    </row>
    <row r="13" spans="1:67" ht="15.75" customHeight="1">
      <c r="A13" s="19">
        <v>12</v>
      </c>
      <c r="B13" s="9">
        <f t="shared" si="0"/>
        <v>60</v>
      </c>
      <c r="C13" s="5"/>
      <c r="D13" s="1">
        <v>60</v>
      </c>
    </row>
    <row r="14" spans="1:67" ht="15.75" customHeight="1">
      <c r="A14" s="19">
        <v>13</v>
      </c>
      <c r="B14" s="9">
        <f t="shared" si="0"/>
        <v>45</v>
      </c>
      <c r="D14" s="1">
        <v>45</v>
      </c>
      <c r="E14" s="5"/>
    </row>
    <row r="15" spans="1:67" ht="15.75" customHeight="1">
      <c r="A15" s="19">
        <v>14</v>
      </c>
      <c r="B15" s="9">
        <f t="shared" si="0"/>
        <v>30</v>
      </c>
      <c r="D15" s="1">
        <v>30</v>
      </c>
      <c r="E15" s="5"/>
    </row>
    <row r="16" spans="1:67" ht="15.75" customHeight="1">
      <c r="A16" s="19">
        <v>15</v>
      </c>
      <c r="B16" s="9">
        <f t="shared" si="0"/>
        <v>45</v>
      </c>
      <c r="D16" s="1">
        <v>45</v>
      </c>
      <c r="E16" s="5"/>
    </row>
    <row r="17" spans="1:5" ht="15.75" customHeight="1">
      <c r="A17" s="19">
        <v>16</v>
      </c>
      <c r="B17" s="9">
        <f t="shared" si="0"/>
        <v>45</v>
      </c>
      <c r="D17" s="1">
        <v>45</v>
      </c>
      <c r="E17" s="5"/>
    </row>
    <row r="18" spans="1:5" ht="15.75" customHeight="1">
      <c r="A18" s="19">
        <v>17</v>
      </c>
      <c r="B18" s="9">
        <f t="shared" si="0"/>
        <v>30</v>
      </c>
      <c r="D18" s="1">
        <v>30</v>
      </c>
      <c r="E18" s="5"/>
    </row>
    <row r="19" spans="1:5" ht="15.75" customHeight="1">
      <c r="A19" s="19">
        <v>18</v>
      </c>
      <c r="B19" s="9">
        <f t="shared" si="0"/>
        <v>45</v>
      </c>
      <c r="D19" s="1">
        <v>45</v>
      </c>
      <c r="E19" s="5"/>
    </row>
    <row r="20" spans="1:5" ht="15.75" customHeight="1">
      <c r="A20" s="19">
        <v>19</v>
      </c>
      <c r="B20" s="9">
        <f t="shared" si="0"/>
        <v>45</v>
      </c>
      <c r="D20" s="1">
        <v>45</v>
      </c>
      <c r="E20" s="5"/>
    </row>
    <row r="21" spans="1:5" ht="15.75" customHeight="1">
      <c r="A21" s="19">
        <v>20</v>
      </c>
      <c r="B21" s="9">
        <f t="shared" si="0"/>
        <v>30</v>
      </c>
      <c r="D21" s="1">
        <v>30</v>
      </c>
      <c r="E21" s="5"/>
    </row>
    <row r="22" spans="1:5" ht="15.75" customHeight="1">
      <c r="A22" s="19">
        <v>21</v>
      </c>
      <c r="B22" s="9">
        <f t="shared" si="0"/>
        <v>30</v>
      </c>
      <c r="D22" s="1">
        <v>30</v>
      </c>
      <c r="E22" s="5"/>
    </row>
    <row r="23" spans="1:5" ht="15.75" customHeight="1">
      <c r="A23" s="19">
        <v>22</v>
      </c>
      <c r="B23" s="9">
        <f t="shared" si="0"/>
        <v>30</v>
      </c>
      <c r="D23" s="1">
        <v>30</v>
      </c>
      <c r="E23" s="5"/>
    </row>
    <row r="24" spans="1:5" ht="15.75" customHeight="1">
      <c r="A24" s="19">
        <v>23</v>
      </c>
      <c r="B24" s="9">
        <f t="shared" si="0"/>
        <v>0</v>
      </c>
    </row>
    <row r="25" spans="1:5" ht="15.75" customHeight="1">
      <c r="A25" s="19">
        <v>24</v>
      </c>
      <c r="B25" s="9">
        <f t="shared" si="0"/>
        <v>0</v>
      </c>
    </row>
    <row r="26" spans="1:5" ht="15.75" customHeight="1">
      <c r="A26" s="19">
        <v>25</v>
      </c>
      <c r="B26" s="9">
        <f t="shared" si="0"/>
        <v>30</v>
      </c>
      <c r="D26" s="1">
        <v>30</v>
      </c>
    </row>
    <row r="27" spans="1:5" ht="15.75" customHeight="1">
      <c r="A27" s="19">
        <v>26</v>
      </c>
      <c r="B27" s="9">
        <f t="shared" si="0"/>
        <v>30</v>
      </c>
      <c r="D27" s="1">
        <v>30</v>
      </c>
    </row>
    <row r="28" spans="1:5" ht="15.75" customHeight="1">
      <c r="A28" s="19">
        <v>27</v>
      </c>
      <c r="B28" s="9">
        <f t="shared" si="0"/>
        <v>30</v>
      </c>
      <c r="D28" s="1">
        <v>30</v>
      </c>
    </row>
    <row r="29" spans="1:5" ht="15.75" customHeight="1">
      <c r="A29" s="19">
        <v>28</v>
      </c>
      <c r="B29" s="9">
        <f t="shared" si="0"/>
        <v>30</v>
      </c>
      <c r="D29" s="1">
        <v>30</v>
      </c>
    </row>
    <row r="30" spans="1:5" ht="15.75" customHeight="1">
      <c r="A30" s="19">
        <v>29</v>
      </c>
      <c r="B30" s="9">
        <f t="shared" si="0"/>
        <v>45</v>
      </c>
      <c r="D30" s="1">
        <v>45</v>
      </c>
    </row>
    <row r="31" spans="1:5" ht="15.75" customHeight="1">
      <c r="A31" s="19">
        <v>30</v>
      </c>
      <c r="B31" s="9">
        <f t="shared" si="0"/>
        <v>30</v>
      </c>
      <c r="D31" s="1">
        <v>30</v>
      </c>
    </row>
    <row r="32" spans="1:5" ht="15.75" customHeight="1">
      <c r="A32" s="19">
        <v>31</v>
      </c>
      <c r="B32" s="9">
        <f t="shared" si="0"/>
        <v>15</v>
      </c>
      <c r="D32" s="1">
        <v>15</v>
      </c>
    </row>
    <row r="33" spans="1:4" ht="15.75" customHeight="1">
      <c r="A33" s="19">
        <v>32</v>
      </c>
      <c r="B33" s="9">
        <f t="shared" si="0"/>
        <v>0</v>
      </c>
    </row>
    <row r="34" spans="1:4" ht="15.75" customHeight="1">
      <c r="A34" s="19">
        <v>33</v>
      </c>
      <c r="B34" s="9">
        <f t="shared" si="0"/>
        <v>0</v>
      </c>
    </row>
    <row r="35" spans="1:4" ht="15.75" customHeight="1">
      <c r="A35" s="19">
        <v>34</v>
      </c>
      <c r="B35" s="9">
        <f t="shared" si="0"/>
        <v>45</v>
      </c>
      <c r="D35" s="1">
        <v>45</v>
      </c>
    </row>
    <row r="36" spans="1:4" ht="15.75" customHeight="1">
      <c r="A36" s="19">
        <v>35</v>
      </c>
      <c r="B36" s="9">
        <f t="shared" si="0"/>
        <v>30</v>
      </c>
      <c r="D36" s="1">
        <v>30</v>
      </c>
    </row>
    <row r="37" spans="1:4" ht="15.75" customHeight="1">
      <c r="A37" s="19">
        <v>36</v>
      </c>
      <c r="B37" s="9">
        <f t="shared" si="0"/>
        <v>30</v>
      </c>
      <c r="D37" s="1">
        <v>30</v>
      </c>
    </row>
    <row r="38" spans="1:4" ht="15.75" customHeight="1">
      <c r="A38" s="19">
        <v>37</v>
      </c>
      <c r="B38" s="9">
        <f t="shared" si="0"/>
        <v>45</v>
      </c>
      <c r="D38" s="1">
        <v>45</v>
      </c>
    </row>
    <row r="39" spans="1:4" ht="15.75" customHeight="1">
      <c r="A39" s="19">
        <v>38</v>
      </c>
      <c r="B39" s="9">
        <f t="shared" si="0"/>
        <v>30</v>
      </c>
      <c r="D39" s="1">
        <v>30</v>
      </c>
    </row>
    <row r="40" spans="1:4" ht="15.75" customHeight="1">
      <c r="A40" s="19">
        <v>39</v>
      </c>
      <c r="B40" s="9">
        <f t="shared" si="0"/>
        <v>45</v>
      </c>
      <c r="D40" s="1">
        <v>45</v>
      </c>
    </row>
    <row r="41" spans="1:4" ht="15.75" customHeight="1">
      <c r="A41" s="19">
        <v>40</v>
      </c>
      <c r="B41" s="9">
        <f t="shared" si="0"/>
        <v>60</v>
      </c>
      <c r="D41" s="1">
        <v>60</v>
      </c>
    </row>
    <row r="42" spans="1:4" ht="15.75" customHeight="1">
      <c r="A42" s="19">
        <v>41</v>
      </c>
      <c r="B42" s="9">
        <f t="shared" si="0"/>
        <v>30</v>
      </c>
      <c r="D42" s="1">
        <v>30</v>
      </c>
    </row>
    <row r="43" spans="1:4" ht="15.75" customHeight="1">
      <c r="A43" s="19">
        <v>42</v>
      </c>
      <c r="B43" s="9">
        <f t="shared" si="0"/>
        <v>45</v>
      </c>
      <c r="D43" s="1">
        <v>45</v>
      </c>
    </row>
    <row r="44" spans="1:4" ht="15.75" customHeight="1">
      <c r="A44" s="19">
        <v>43</v>
      </c>
      <c r="B44" s="9">
        <f t="shared" si="0"/>
        <v>45</v>
      </c>
      <c r="D44" s="1">
        <v>45</v>
      </c>
    </row>
    <row r="45" spans="1:4" ht="15.75" customHeight="1">
      <c r="A45" s="19">
        <v>44</v>
      </c>
      <c r="B45" s="9">
        <f t="shared" si="0"/>
        <v>45</v>
      </c>
      <c r="D45" s="1">
        <v>45</v>
      </c>
    </row>
    <row r="46" spans="1:4" ht="15.75" customHeight="1">
      <c r="A46" s="19">
        <v>45</v>
      </c>
      <c r="B46" s="9">
        <f t="shared" si="0"/>
        <v>45</v>
      </c>
      <c r="D46" s="1">
        <v>45</v>
      </c>
    </row>
    <row r="47" spans="1:4" ht="15.75" customHeight="1">
      <c r="A47" s="19">
        <v>46</v>
      </c>
      <c r="B47" s="9">
        <f t="shared" si="0"/>
        <v>15</v>
      </c>
      <c r="D47" s="1">
        <v>15</v>
      </c>
    </row>
    <row r="48" spans="1:4" ht="15.75" customHeight="1">
      <c r="A48" s="19">
        <v>47</v>
      </c>
      <c r="B48" s="9">
        <f t="shared" si="0"/>
        <v>60</v>
      </c>
      <c r="D48" s="1">
        <v>60</v>
      </c>
    </row>
    <row r="49" spans="1:4" ht="15.75" customHeight="1">
      <c r="A49" s="19">
        <v>48</v>
      </c>
      <c r="B49" s="9">
        <f t="shared" si="0"/>
        <v>15</v>
      </c>
      <c r="D49" s="1">
        <v>15</v>
      </c>
    </row>
    <row r="50" spans="1:4" ht="15.75" customHeight="1">
      <c r="A50" s="19">
        <v>49</v>
      </c>
      <c r="B50" s="9">
        <f t="shared" si="0"/>
        <v>30</v>
      </c>
      <c r="D50" s="1">
        <v>30</v>
      </c>
    </row>
    <row r="51" spans="1:4" ht="15.75" customHeight="1">
      <c r="A51" s="19">
        <v>50</v>
      </c>
      <c r="B51" s="9">
        <f t="shared" si="0"/>
        <v>60</v>
      </c>
      <c r="D51" s="1">
        <v>60</v>
      </c>
    </row>
    <row r="52" spans="1:4" ht="15.75" customHeight="1">
      <c r="A52" s="19">
        <v>51</v>
      </c>
      <c r="B52" s="9">
        <f t="shared" si="0"/>
        <v>45</v>
      </c>
      <c r="D52" s="1">
        <v>45</v>
      </c>
    </row>
    <row r="53" spans="1:4" ht="15.75" customHeight="1">
      <c r="A53" s="19">
        <v>52</v>
      </c>
      <c r="B53" s="9">
        <f t="shared" si="0"/>
        <v>45</v>
      </c>
      <c r="D53" s="1">
        <v>45</v>
      </c>
    </row>
    <row r="54" spans="1:4" ht="15.75" customHeight="1">
      <c r="A54" s="19">
        <v>53</v>
      </c>
      <c r="B54" s="9">
        <f t="shared" si="0"/>
        <v>30</v>
      </c>
      <c r="D54" s="1">
        <v>30</v>
      </c>
    </row>
    <row r="55" spans="1:4" ht="15.75" customHeight="1">
      <c r="A55" s="19">
        <v>54</v>
      </c>
      <c r="B55" s="9">
        <f t="shared" si="0"/>
        <v>30</v>
      </c>
      <c r="D55" s="1">
        <v>30</v>
      </c>
    </row>
    <row r="56" spans="1:4" ht="15.75" customHeight="1">
      <c r="A56" s="19">
        <v>55</v>
      </c>
      <c r="B56" s="9">
        <f t="shared" si="0"/>
        <v>45</v>
      </c>
      <c r="D56" s="1">
        <v>45</v>
      </c>
    </row>
    <row r="57" spans="1:4" ht="15.75" customHeight="1">
      <c r="A57" s="19">
        <v>56</v>
      </c>
      <c r="B57" s="9">
        <f t="shared" si="0"/>
        <v>30</v>
      </c>
      <c r="D57" s="1">
        <v>30</v>
      </c>
    </row>
    <row r="58" spans="1:4" ht="15.75" customHeight="1">
      <c r="A58" s="19">
        <v>57</v>
      </c>
      <c r="B58" s="9">
        <f t="shared" si="0"/>
        <v>0</v>
      </c>
    </row>
    <row r="59" spans="1:4" ht="15.75" customHeight="1">
      <c r="A59" s="19">
        <v>58</v>
      </c>
      <c r="B59" s="9">
        <f t="shared" si="0"/>
        <v>30</v>
      </c>
      <c r="D59" s="1">
        <v>30</v>
      </c>
    </row>
    <row r="60" spans="1:4" ht="15.75" customHeight="1">
      <c r="A60" s="19">
        <v>59</v>
      </c>
      <c r="B60" s="9">
        <f t="shared" si="0"/>
        <v>30</v>
      </c>
      <c r="D60" s="1">
        <v>30</v>
      </c>
    </row>
    <row r="61" spans="1:4" ht="15.75" customHeight="1">
      <c r="A61" s="19">
        <v>60</v>
      </c>
      <c r="B61" s="9">
        <f t="shared" si="0"/>
        <v>30</v>
      </c>
      <c r="D61" s="1">
        <v>30</v>
      </c>
    </row>
    <row r="62" spans="1:4" ht="15.75" customHeight="1">
      <c r="A62" s="19">
        <v>61</v>
      </c>
      <c r="B62" s="9">
        <f t="shared" si="0"/>
        <v>30</v>
      </c>
      <c r="D62" s="1">
        <v>30</v>
      </c>
    </row>
    <row r="63" spans="1:4" ht="15.75" customHeight="1">
      <c r="A63" s="19">
        <v>62</v>
      </c>
      <c r="B63" s="9">
        <f t="shared" si="0"/>
        <v>30</v>
      </c>
      <c r="D63" s="1">
        <v>30</v>
      </c>
    </row>
    <row r="64" spans="1:4" ht="15.75" customHeight="1">
      <c r="A64" s="19">
        <v>63</v>
      </c>
      <c r="B64" s="9">
        <f t="shared" si="0"/>
        <v>60</v>
      </c>
      <c r="D64" s="1">
        <v>60</v>
      </c>
    </row>
    <row r="65" spans="1:4" ht="15.75" customHeight="1">
      <c r="A65" s="19">
        <v>64</v>
      </c>
      <c r="B65" s="9">
        <f t="shared" si="0"/>
        <v>60</v>
      </c>
      <c r="D65" s="1">
        <v>60</v>
      </c>
    </row>
    <row r="66" spans="1:4" ht="15.75" customHeight="1">
      <c r="A66" s="19">
        <v>65</v>
      </c>
      <c r="B66" s="9">
        <f t="shared" si="0"/>
        <v>30</v>
      </c>
      <c r="D66" s="1">
        <v>30</v>
      </c>
    </row>
    <row r="67" spans="1:4" ht="15.75" customHeight="1">
      <c r="A67" s="19">
        <v>66</v>
      </c>
      <c r="B67" s="9">
        <f t="shared" si="0"/>
        <v>30</v>
      </c>
      <c r="D67" s="1">
        <v>30</v>
      </c>
    </row>
    <row r="68" spans="1:4" ht="15.75" customHeight="1">
      <c r="A68" s="19">
        <v>67</v>
      </c>
      <c r="B68" s="9">
        <f t="shared" si="0"/>
        <v>30</v>
      </c>
      <c r="D68" s="1">
        <v>30</v>
      </c>
    </row>
    <row r="69" spans="1:4" ht="15.75" customHeight="1">
      <c r="A69" s="19">
        <v>68</v>
      </c>
      <c r="B69" s="9">
        <f t="shared" si="0"/>
        <v>30</v>
      </c>
      <c r="D69" s="1">
        <v>30</v>
      </c>
    </row>
    <row r="70" spans="1:4" ht="15.75" customHeight="1">
      <c r="A70" s="19">
        <v>69</v>
      </c>
      <c r="B70" s="9">
        <f t="shared" si="0"/>
        <v>0</v>
      </c>
    </row>
    <row r="71" spans="1:4" ht="15.75" customHeight="1">
      <c r="A71" s="19">
        <v>70</v>
      </c>
      <c r="B71" s="9">
        <f t="shared" si="0"/>
        <v>15</v>
      </c>
      <c r="D71" s="1">
        <v>15</v>
      </c>
    </row>
    <row r="72" spans="1:4" ht="15.75" customHeight="1">
      <c r="A72" s="19">
        <v>71</v>
      </c>
      <c r="B72" s="9">
        <f t="shared" si="0"/>
        <v>15</v>
      </c>
      <c r="D72" s="1">
        <v>15</v>
      </c>
    </row>
    <row r="73" spans="1:4" ht="15.75" customHeight="1">
      <c r="A73" s="19">
        <v>72</v>
      </c>
      <c r="B73" s="9">
        <f t="shared" si="0"/>
        <v>30</v>
      </c>
      <c r="D73" s="1">
        <v>30</v>
      </c>
    </row>
    <row r="74" spans="1:4" ht="15.75" customHeight="1">
      <c r="A74" s="19">
        <v>73</v>
      </c>
      <c r="B74" s="9">
        <f t="shared" si="0"/>
        <v>30</v>
      </c>
      <c r="D74" s="1">
        <v>30</v>
      </c>
    </row>
    <row r="75" spans="1:4" ht="15.75" customHeight="1">
      <c r="A75" s="19">
        <v>74</v>
      </c>
      <c r="B75" s="9">
        <f t="shared" si="0"/>
        <v>15</v>
      </c>
      <c r="D75" s="1">
        <v>15</v>
      </c>
    </row>
    <row r="76" spans="1:4" ht="15.75" customHeight="1">
      <c r="A76" s="19">
        <v>75</v>
      </c>
      <c r="B76" s="9">
        <f t="shared" si="0"/>
        <v>15</v>
      </c>
      <c r="D76" s="1">
        <v>15</v>
      </c>
    </row>
    <row r="77" spans="1:4" ht="15.75" customHeight="1">
      <c r="A77" s="19">
        <v>76</v>
      </c>
      <c r="B77" s="9">
        <f t="shared" si="0"/>
        <v>30</v>
      </c>
      <c r="D77" s="1">
        <v>30</v>
      </c>
    </row>
    <row r="78" spans="1:4" ht="15.75" customHeight="1">
      <c r="A78" s="19">
        <v>77</v>
      </c>
      <c r="B78" s="9">
        <f t="shared" si="0"/>
        <v>60</v>
      </c>
      <c r="D78" s="1">
        <v>60</v>
      </c>
    </row>
    <row r="79" spans="1:4" ht="15.75" customHeight="1">
      <c r="A79" s="19">
        <v>78</v>
      </c>
      <c r="B79" s="9">
        <f t="shared" si="0"/>
        <v>45</v>
      </c>
      <c r="D79" s="1">
        <v>45</v>
      </c>
    </row>
    <row r="80" spans="1:4" ht="15.75" customHeight="1">
      <c r="A80" s="19">
        <v>79</v>
      </c>
      <c r="B80" s="9">
        <f t="shared" si="0"/>
        <v>30</v>
      </c>
      <c r="D80" s="1">
        <v>30</v>
      </c>
    </row>
    <row r="81" spans="1:4" ht="15.75" customHeight="1">
      <c r="A81" s="19">
        <v>80</v>
      </c>
      <c r="B81" s="9">
        <f t="shared" si="0"/>
        <v>30</v>
      </c>
      <c r="D81" s="1">
        <v>30</v>
      </c>
    </row>
    <row r="82" spans="1:4" ht="15.75" customHeight="1">
      <c r="A82" s="19">
        <v>81</v>
      </c>
      <c r="B82" s="9">
        <f t="shared" si="0"/>
        <v>45</v>
      </c>
      <c r="D82" s="1">
        <v>45</v>
      </c>
    </row>
    <row r="83" spans="1:4" ht="15.75" customHeight="1">
      <c r="A83" s="19">
        <v>82</v>
      </c>
      <c r="B83" s="9">
        <f t="shared" si="0"/>
        <v>45</v>
      </c>
      <c r="D83" s="1">
        <v>45</v>
      </c>
    </row>
    <row r="84" spans="1:4" ht="15.75" customHeight="1">
      <c r="A84" s="19">
        <v>83</v>
      </c>
      <c r="B84" s="9">
        <f t="shared" si="0"/>
        <v>45</v>
      </c>
      <c r="D84" s="1">
        <v>45</v>
      </c>
    </row>
    <row r="85" spans="1:4" ht="15.75" customHeight="1">
      <c r="A85" s="19">
        <v>84</v>
      </c>
      <c r="B85" s="9">
        <f t="shared" si="0"/>
        <v>30</v>
      </c>
      <c r="D85" s="1">
        <v>30</v>
      </c>
    </row>
    <row r="86" spans="1:4" ht="15.75" customHeight="1">
      <c r="A86" s="19">
        <v>85</v>
      </c>
      <c r="B86" s="9">
        <f t="shared" si="0"/>
        <v>30</v>
      </c>
      <c r="D86" s="1">
        <v>30</v>
      </c>
    </row>
    <row r="87" spans="1:4" ht="15.75" customHeight="1">
      <c r="A87" s="19">
        <v>86</v>
      </c>
      <c r="B87" s="9">
        <f t="shared" si="0"/>
        <v>60</v>
      </c>
      <c r="D87" s="1">
        <v>60</v>
      </c>
    </row>
    <row r="88" spans="1:4" ht="15.75" customHeight="1">
      <c r="A88" s="19">
        <v>87</v>
      </c>
      <c r="B88" s="9">
        <f t="shared" si="0"/>
        <v>30</v>
      </c>
      <c r="D88" s="1">
        <v>30</v>
      </c>
    </row>
    <row r="89" spans="1:4" ht="15.75" customHeight="1">
      <c r="A89" s="19">
        <v>88</v>
      </c>
      <c r="B89" s="9">
        <f t="shared" si="0"/>
        <v>30</v>
      </c>
      <c r="D89" s="1">
        <v>30</v>
      </c>
    </row>
    <row r="90" spans="1:4" ht="15.75" customHeight="1">
      <c r="A90" s="19">
        <v>89</v>
      </c>
      <c r="B90" s="9">
        <f t="shared" si="0"/>
        <v>45</v>
      </c>
      <c r="D90" s="1">
        <v>45</v>
      </c>
    </row>
    <row r="91" spans="1:4" ht="15.75" customHeight="1">
      <c r="A91" s="19">
        <v>90</v>
      </c>
      <c r="B91" s="9">
        <f t="shared" si="0"/>
        <v>30</v>
      </c>
      <c r="D91" s="1">
        <v>30</v>
      </c>
    </row>
    <row r="92" spans="1:4" ht="15.75" customHeight="1">
      <c r="A92" s="19">
        <v>91</v>
      </c>
      <c r="B92" s="9">
        <f t="shared" si="0"/>
        <v>45</v>
      </c>
      <c r="D92" s="1">
        <v>45</v>
      </c>
    </row>
    <row r="93" spans="1:4" ht="15.75" customHeight="1">
      <c r="A93" s="19">
        <v>92</v>
      </c>
      <c r="B93" s="9">
        <f t="shared" si="0"/>
        <v>30</v>
      </c>
      <c r="D93" s="1">
        <v>30</v>
      </c>
    </row>
    <row r="94" spans="1:4" ht="15.75" customHeight="1">
      <c r="A94" s="19">
        <v>93</v>
      </c>
      <c r="B94" s="9">
        <f t="shared" si="0"/>
        <v>30</v>
      </c>
      <c r="D94" s="1">
        <v>30</v>
      </c>
    </row>
    <row r="95" spans="1:4" ht="15.75" customHeight="1">
      <c r="A95" s="19">
        <v>94</v>
      </c>
      <c r="B95" s="9">
        <f t="shared" si="0"/>
        <v>45</v>
      </c>
      <c r="D95" s="1">
        <v>45</v>
      </c>
    </row>
    <row r="96" spans="1:4" ht="15.75" customHeight="1">
      <c r="A96" s="19">
        <v>95</v>
      </c>
      <c r="B96" s="9">
        <f t="shared" si="0"/>
        <v>30</v>
      </c>
      <c r="D96" s="1">
        <v>30</v>
      </c>
    </row>
    <row r="97" spans="1:4" ht="15.75" customHeight="1">
      <c r="A97" s="19">
        <v>96</v>
      </c>
      <c r="B97" s="9">
        <f t="shared" si="0"/>
        <v>30</v>
      </c>
      <c r="D97" s="1">
        <v>30</v>
      </c>
    </row>
    <row r="98" spans="1:4" ht="15.75" customHeight="1">
      <c r="A98" s="19">
        <v>97</v>
      </c>
      <c r="B98" s="9">
        <f t="shared" si="0"/>
        <v>30</v>
      </c>
      <c r="D98" s="1">
        <v>30</v>
      </c>
    </row>
    <row r="99" spans="1:4" ht="15.75" customHeight="1">
      <c r="A99" s="19">
        <v>98</v>
      </c>
      <c r="B99" s="9">
        <f t="shared" si="0"/>
        <v>30</v>
      </c>
      <c r="D99" s="1">
        <v>30</v>
      </c>
    </row>
    <row r="100" spans="1:4" ht="15.75" customHeight="1">
      <c r="A100" s="19">
        <v>99</v>
      </c>
      <c r="B100" s="9">
        <f t="shared" si="0"/>
        <v>45</v>
      </c>
      <c r="D100" s="1">
        <v>45</v>
      </c>
    </row>
    <row r="101" spans="1:4" ht="15.75" customHeight="1">
      <c r="A101" s="19">
        <v>100</v>
      </c>
      <c r="B101" s="9">
        <f t="shared" si="0"/>
        <v>0</v>
      </c>
    </row>
    <row r="102" spans="1:4" ht="15.75" customHeight="1">
      <c r="A102" s="19">
        <v>101</v>
      </c>
      <c r="B102" s="9">
        <f t="shared" si="0"/>
        <v>0</v>
      </c>
    </row>
    <row r="103" spans="1:4" ht="15.75" customHeight="1">
      <c r="A103" s="19">
        <v>102</v>
      </c>
      <c r="B103" s="9">
        <f t="shared" si="0"/>
        <v>0</v>
      </c>
    </row>
    <row r="104" spans="1:4" ht="15.75" customHeight="1">
      <c r="A104" s="19">
        <v>103</v>
      </c>
      <c r="B104" s="9">
        <f t="shared" si="0"/>
        <v>30</v>
      </c>
      <c r="D104" s="1">
        <v>30</v>
      </c>
    </row>
    <row r="105" spans="1:4" ht="15.75" customHeight="1">
      <c r="A105" s="19">
        <v>104</v>
      </c>
      <c r="B105" s="9">
        <f t="shared" si="0"/>
        <v>30</v>
      </c>
      <c r="D105" s="1">
        <v>30</v>
      </c>
    </row>
    <row r="106" spans="1:4" ht="15.75" customHeight="1">
      <c r="A106" s="19">
        <v>105</v>
      </c>
      <c r="B106" s="9">
        <f t="shared" si="0"/>
        <v>30</v>
      </c>
      <c r="D106" s="1">
        <v>30</v>
      </c>
    </row>
    <row r="107" spans="1:4" ht="15.75" customHeight="1">
      <c r="A107" s="19">
        <v>106</v>
      </c>
      <c r="B107" s="9">
        <f t="shared" si="0"/>
        <v>30</v>
      </c>
      <c r="D107" s="1">
        <v>30</v>
      </c>
    </row>
    <row r="108" spans="1:4" ht="15.75" customHeight="1">
      <c r="A108" s="19">
        <v>107</v>
      </c>
      <c r="B108" s="9">
        <f t="shared" si="0"/>
        <v>30</v>
      </c>
      <c r="D108" s="1">
        <v>30</v>
      </c>
    </row>
    <row r="109" spans="1:4" ht="15.75" customHeight="1">
      <c r="A109" s="19">
        <v>108</v>
      </c>
      <c r="B109" s="9">
        <f t="shared" si="0"/>
        <v>30</v>
      </c>
      <c r="D109" s="1">
        <v>30</v>
      </c>
    </row>
    <row r="110" spans="1:4" ht="15.75" customHeight="1">
      <c r="A110" s="19">
        <v>109</v>
      </c>
      <c r="B110" s="9">
        <f t="shared" si="0"/>
        <v>30</v>
      </c>
      <c r="D110" s="1">
        <v>30</v>
      </c>
    </row>
    <row r="111" spans="1:4" ht="15.75" customHeight="1">
      <c r="A111" s="19">
        <v>110</v>
      </c>
      <c r="B111" s="9">
        <f t="shared" si="0"/>
        <v>15</v>
      </c>
      <c r="D111" s="1">
        <v>15</v>
      </c>
    </row>
    <row r="112" spans="1:4" ht="15.75" customHeight="1">
      <c r="A112" s="19">
        <v>111</v>
      </c>
      <c r="B112" s="9">
        <f t="shared" si="0"/>
        <v>45</v>
      </c>
      <c r="D112" s="1">
        <v>45</v>
      </c>
    </row>
    <row r="113" spans="1:4" ht="15.75" customHeight="1">
      <c r="A113" s="19">
        <v>112</v>
      </c>
      <c r="B113" s="9">
        <f t="shared" si="0"/>
        <v>30</v>
      </c>
      <c r="D113" s="1">
        <v>30</v>
      </c>
    </row>
    <row r="114" spans="1:4" ht="15.75" customHeight="1">
      <c r="A114" s="19">
        <v>113</v>
      </c>
      <c r="B114" s="9">
        <f t="shared" si="0"/>
        <v>0</v>
      </c>
    </row>
    <row r="115" spans="1:4" ht="15.75" customHeight="1">
      <c r="A115" s="19">
        <v>114</v>
      </c>
      <c r="B115" s="9">
        <f t="shared" si="0"/>
        <v>0</v>
      </c>
    </row>
    <row r="116" spans="1:4" ht="15.75" customHeight="1">
      <c r="A116" s="19">
        <v>115</v>
      </c>
      <c r="B116" s="9">
        <f t="shared" si="0"/>
        <v>0</v>
      </c>
    </row>
    <row r="117" spans="1:4" ht="15.75" customHeight="1">
      <c r="A117" s="19">
        <v>116</v>
      </c>
      <c r="B117" s="9">
        <f t="shared" si="0"/>
        <v>0</v>
      </c>
    </row>
    <row r="118" spans="1:4" ht="15.75" customHeight="1">
      <c r="A118" s="19">
        <v>117</v>
      </c>
      <c r="B118" s="9">
        <f t="shared" si="0"/>
        <v>0</v>
      </c>
    </row>
    <row r="119" spans="1:4" ht="15.75" customHeight="1">
      <c r="A119" s="19">
        <v>118</v>
      </c>
      <c r="B119" s="9">
        <f t="shared" si="0"/>
        <v>0</v>
      </c>
    </row>
    <row r="120" spans="1:4" ht="15.75" customHeight="1">
      <c r="A120" s="19">
        <v>119</v>
      </c>
      <c r="B120" s="9">
        <f t="shared" si="0"/>
        <v>0</v>
      </c>
    </row>
    <row r="121" spans="1:4" ht="15.75" customHeight="1">
      <c r="A121" s="19">
        <v>120</v>
      </c>
      <c r="B121" s="9">
        <f t="shared" si="0"/>
        <v>0</v>
      </c>
    </row>
    <row r="122" spans="1:4" ht="15.75" customHeight="1">
      <c r="A122" s="19">
        <v>121</v>
      </c>
      <c r="B122" s="9">
        <f t="shared" si="0"/>
        <v>0</v>
      </c>
    </row>
    <row r="123" spans="1:4" ht="15.75" customHeight="1">
      <c r="A123" s="19">
        <v>122</v>
      </c>
      <c r="B123" s="9">
        <f t="shared" si="0"/>
        <v>0</v>
      </c>
    </row>
    <row r="124" spans="1:4" ht="15.75" customHeight="1">
      <c r="A124" s="19">
        <v>123</v>
      </c>
      <c r="B124" s="9">
        <f t="shared" si="0"/>
        <v>0</v>
      </c>
    </row>
    <row r="125" spans="1:4" ht="15.75" customHeight="1">
      <c r="A125" s="19">
        <v>124</v>
      </c>
      <c r="B125" s="9">
        <f t="shared" si="0"/>
        <v>0</v>
      </c>
    </row>
    <row r="126" spans="1:4" ht="15.75" customHeight="1">
      <c r="A126" s="19">
        <v>125</v>
      </c>
      <c r="B126" s="9">
        <f t="shared" si="0"/>
        <v>0</v>
      </c>
    </row>
    <row r="127" spans="1:4" ht="15.75" customHeight="1">
      <c r="A127" s="19">
        <v>126</v>
      </c>
      <c r="B127" s="9">
        <f t="shared" si="0"/>
        <v>0</v>
      </c>
    </row>
    <row r="128" spans="1:4" ht="15.75" customHeight="1">
      <c r="A128" s="19">
        <v>127</v>
      </c>
      <c r="B128" s="9">
        <f t="shared" si="0"/>
        <v>0</v>
      </c>
    </row>
    <row r="129" spans="1:2" ht="15.75" customHeight="1">
      <c r="A129" s="19">
        <v>128</v>
      </c>
      <c r="B129" s="9">
        <f t="shared" si="0"/>
        <v>0</v>
      </c>
    </row>
    <row r="130" spans="1:2" ht="15.75" customHeight="1">
      <c r="A130" s="19">
        <v>129</v>
      </c>
      <c r="B130" s="9">
        <f t="shared" si="0"/>
        <v>0</v>
      </c>
    </row>
    <row r="131" spans="1:2" ht="15.75" customHeight="1">
      <c r="A131" s="19">
        <v>130</v>
      </c>
      <c r="B131" s="9">
        <f t="shared" si="0"/>
        <v>0</v>
      </c>
    </row>
    <row r="132" spans="1:2" ht="15.75" customHeight="1">
      <c r="A132" s="19">
        <v>131</v>
      </c>
      <c r="B132" s="9">
        <f t="shared" si="0"/>
        <v>0</v>
      </c>
    </row>
    <row r="133" spans="1:2" ht="15.75" customHeight="1">
      <c r="A133" s="19">
        <v>132</v>
      </c>
      <c r="B133" s="9">
        <f t="shared" si="0"/>
        <v>0</v>
      </c>
    </row>
    <row r="134" spans="1:2" ht="15.75" customHeight="1">
      <c r="A134" s="19">
        <v>133</v>
      </c>
      <c r="B134" s="9">
        <f t="shared" si="0"/>
        <v>0</v>
      </c>
    </row>
    <row r="135" spans="1:2" ht="15.75" customHeight="1">
      <c r="A135" s="19">
        <v>134</v>
      </c>
      <c r="B135" s="9">
        <f t="shared" si="0"/>
        <v>0</v>
      </c>
    </row>
    <row r="136" spans="1:2" ht="15.75" customHeight="1">
      <c r="A136" s="19">
        <v>135</v>
      </c>
      <c r="B136" s="9">
        <f t="shared" si="0"/>
        <v>0</v>
      </c>
    </row>
    <row r="137" spans="1:2" ht="15.75" customHeight="1">
      <c r="A137" s="19">
        <v>136</v>
      </c>
      <c r="B137" s="9">
        <f t="shared" si="0"/>
        <v>0</v>
      </c>
    </row>
    <row r="138" spans="1:2" ht="15.75" customHeight="1">
      <c r="A138" s="19">
        <v>137</v>
      </c>
      <c r="B138" s="9">
        <f t="shared" si="0"/>
        <v>0</v>
      </c>
    </row>
    <row r="139" spans="1:2" ht="15.75" customHeight="1">
      <c r="A139" s="19">
        <v>138</v>
      </c>
      <c r="B139" s="9">
        <f t="shared" si="0"/>
        <v>0</v>
      </c>
    </row>
    <row r="140" spans="1:2" ht="15.75" customHeight="1">
      <c r="A140" s="19">
        <v>139</v>
      </c>
      <c r="B140" s="9">
        <f t="shared" si="0"/>
        <v>0</v>
      </c>
    </row>
    <row r="141" spans="1:2" ht="15.75" customHeight="1">
      <c r="A141" s="19">
        <v>140</v>
      </c>
      <c r="B141" s="9">
        <f t="shared" si="0"/>
        <v>0</v>
      </c>
    </row>
    <row r="142" spans="1:2" ht="15.75" customHeight="1">
      <c r="A142" s="19">
        <v>141</v>
      </c>
      <c r="B142" s="9">
        <f t="shared" si="0"/>
        <v>0</v>
      </c>
    </row>
    <row r="143" spans="1:2" ht="15.75" customHeight="1">
      <c r="A143" s="19">
        <v>142</v>
      </c>
      <c r="B143" s="9">
        <f t="shared" si="0"/>
        <v>0</v>
      </c>
    </row>
    <row r="144" spans="1:2" ht="15.75" customHeight="1">
      <c r="A144" s="19">
        <v>143</v>
      </c>
      <c r="B144" s="9">
        <f t="shared" si="0"/>
        <v>0</v>
      </c>
    </row>
    <row r="145" spans="1:2" ht="15.75" customHeight="1">
      <c r="A145" s="19">
        <v>144</v>
      </c>
      <c r="B145" s="9">
        <f t="shared" si="0"/>
        <v>0</v>
      </c>
    </row>
    <row r="146" spans="1:2" ht="15.75" customHeight="1">
      <c r="A146" s="19">
        <v>145</v>
      </c>
      <c r="B146" s="9">
        <f t="shared" si="0"/>
        <v>0</v>
      </c>
    </row>
    <row r="147" spans="1:2" ht="15.75" customHeight="1">
      <c r="A147" s="19">
        <v>146</v>
      </c>
      <c r="B147" s="9">
        <f t="shared" si="0"/>
        <v>0</v>
      </c>
    </row>
    <row r="148" spans="1:2" ht="15.75" customHeight="1">
      <c r="A148" s="19">
        <v>147</v>
      </c>
      <c r="B148" s="9">
        <f t="shared" si="0"/>
        <v>0</v>
      </c>
    </row>
    <row r="149" spans="1:2" ht="15.75" customHeight="1">
      <c r="A149" s="19">
        <v>148</v>
      </c>
      <c r="B149" s="9">
        <f t="shared" si="0"/>
        <v>0</v>
      </c>
    </row>
    <row r="150" spans="1:2" ht="15.75" customHeight="1">
      <c r="A150" s="19">
        <v>149</v>
      </c>
      <c r="B150" s="9">
        <f t="shared" si="0"/>
        <v>0</v>
      </c>
    </row>
    <row r="151" spans="1:2" ht="15.75" customHeight="1">
      <c r="A151" s="19">
        <v>150</v>
      </c>
      <c r="B151" s="9">
        <f t="shared" si="0"/>
        <v>0</v>
      </c>
    </row>
    <row r="152" spans="1:2" ht="15.75" customHeight="1">
      <c r="A152" s="19">
        <v>151</v>
      </c>
      <c r="B152" s="9">
        <f t="shared" si="0"/>
        <v>0</v>
      </c>
    </row>
    <row r="153" spans="1:2" ht="15.75" customHeight="1">
      <c r="A153" s="19">
        <v>152</v>
      </c>
      <c r="B153" s="9">
        <f t="shared" si="0"/>
        <v>0</v>
      </c>
    </row>
    <row r="154" spans="1:2" ht="15.75" customHeight="1">
      <c r="A154" s="19">
        <v>153</v>
      </c>
      <c r="B154" s="9">
        <f t="shared" si="0"/>
        <v>0</v>
      </c>
    </row>
    <row r="155" spans="1:2" ht="15.75" customHeight="1">
      <c r="A155" s="19">
        <v>154</v>
      </c>
      <c r="B155" s="9">
        <f t="shared" si="0"/>
        <v>0</v>
      </c>
    </row>
    <row r="156" spans="1:2" ht="15.75" customHeight="1">
      <c r="A156" s="19">
        <v>155</v>
      </c>
      <c r="B156" s="9">
        <f t="shared" si="0"/>
        <v>0</v>
      </c>
    </row>
    <row r="157" spans="1:2" ht="15.75" customHeight="1">
      <c r="A157" s="19">
        <v>156</v>
      </c>
      <c r="B157" s="9">
        <f t="shared" si="0"/>
        <v>0</v>
      </c>
    </row>
    <row r="158" spans="1:2" ht="15.75" customHeight="1">
      <c r="A158" s="19">
        <v>157</v>
      </c>
      <c r="B158" s="9">
        <f t="shared" si="0"/>
        <v>0</v>
      </c>
    </row>
    <row r="159" spans="1:2" ht="15.75" customHeight="1">
      <c r="A159" s="19">
        <v>158</v>
      </c>
      <c r="B159" s="9">
        <f t="shared" si="0"/>
        <v>0</v>
      </c>
    </row>
    <row r="160" spans="1:2" ht="15.75" customHeight="1">
      <c r="A160" s="19">
        <v>159</v>
      </c>
      <c r="B160" s="9">
        <f t="shared" si="0"/>
        <v>0</v>
      </c>
    </row>
    <row r="161" spans="1:2" ht="15.75" customHeight="1">
      <c r="A161" s="19">
        <v>160</v>
      </c>
      <c r="B161" s="9">
        <f t="shared" si="0"/>
        <v>0</v>
      </c>
    </row>
    <row r="162" spans="1:2" ht="15.75" customHeight="1">
      <c r="A162" s="19">
        <v>161</v>
      </c>
      <c r="B162" s="9">
        <f t="shared" si="0"/>
        <v>0</v>
      </c>
    </row>
    <row r="163" spans="1:2" ht="15.75" customHeight="1">
      <c r="A163" s="19">
        <v>162</v>
      </c>
      <c r="B163" s="9">
        <f t="shared" si="0"/>
        <v>0</v>
      </c>
    </row>
    <row r="164" spans="1:2" ht="15.75" customHeight="1">
      <c r="A164" s="19">
        <v>163</v>
      </c>
      <c r="B164" s="9">
        <f t="shared" si="0"/>
        <v>0</v>
      </c>
    </row>
    <row r="165" spans="1:2" ht="15.75" customHeight="1">
      <c r="A165" s="19">
        <v>164</v>
      </c>
      <c r="B165" s="9">
        <f t="shared" si="0"/>
        <v>0</v>
      </c>
    </row>
    <row r="166" spans="1:2" ht="15.75" customHeight="1">
      <c r="A166" s="19">
        <v>165</v>
      </c>
      <c r="B166" s="9">
        <f t="shared" si="0"/>
        <v>0</v>
      </c>
    </row>
    <row r="167" spans="1:2" ht="15.75" customHeight="1">
      <c r="A167" s="19">
        <v>166</v>
      </c>
      <c r="B167" s="9">
        <f t="shared" si="0"/>
        <v>0</v>
      </c>
    </row>
    <row r="168" spans="1:2" ht="15.75" customHeight="1">
      <c r="A168" s="19">
        <v>167</v>
      </c>
      <c r="B168" s="9">
        <f t="shared" si="0"/>
        <v>0</v>
      </c>
    </row>
    <row r="169" spans="1:2" ht="15.75" customHeight="1">
      <c r="A169" s="19">
        <v>168</v>
      </c>
      <c r="B169" s="9">
        <f t="shared" si="0"/>
        <v>0</v>
      </c>
    </row>
    <row r="170" spans="1:2" ht="15.75" customHeight="1">
      <c r="A170" s="19">
        <v>169</v>
      </c>
      <c r="B170" s="9">
        <f t="shared" si="0"/>
        <v>0</v>
      </c>
    </row>
    <row r="171" spans="1:2" ht="15.75" customHeight="1">
      <c r="A171" s="19">
        <v>170</v>
      </c>
      <c r="B171" s="9">
        <f t="shared" si="0"/>
        <v>0</v>
      </c>
    </row>
    <row r="172" spans="1:2" ht="15.75" customHeight="1">
      <c r="A172" s="19">
        <v>171</v>
      </c>
      <c r="B172" s="9">
        <f t="shared" si="0"/>
        <v>0</v>
      </c>
    </row>
    <row r="173" spans="1:2" ht="15.75" customHeight="1">
      <c r="A173" s="19">
        <v>172</v>
      </c>
      <c r="B173" s="9">
        <f t="shared" si="0"/>
        <v>0</v>
      </c>
    </row>
    <row r="174" spans="1:2" ht="15.75" customHeight="1">
      <c r="A174" s="19">
        <v>173</v>
      </c>
      <c r="B174" s="9">
        <f t="shared" si="0"/>
        <v>0</v>
      </c>
    </row>
    <row r="175" spans="1:2" ht="15.75" customHeight="1">
      <c r="A175" s="19">
        <v>174</v>
      </c>
      <c r="B175" s="9">
        <f t="shared" si="0"/>
        <v>0</v>
      </c>
    </row>
    <row r="176" spans="1:2" ht="15.75" customHeight="1">
      <c r="A176" s="19">
        <v>175</v>
      </c>
      <c r="B176" s="9">
        <f t="shared" si="0"/>
        <v>0</v>
      </c>
    </row>
    <row r="177" spans="1:2" ht="15.75" customHeight="1">
      <c r="A177" s="19">
        <v>176</v>
      </c>
      <c r="B177" s="9">
        <f t="shared" si="0"/>
        <v>0</v>
      </c>
    </row>
    <row r="178" spans="1:2" ht="15.75" customHeight="1">
      <c r="A178" s="19">
        <v>177</v>
      </c>
      <c r="B178" s="9">
        <f t="shared" si="0"/>
        <v>0</v>
      </c>
    </row>
    <row r="179" spans="1:2" ht="15.75" customHeight="1">
      <c r="A179" s="19">
        <v>178</v>
      </c>
      <c r="B179" s="9">
        <f t="shared" si="0"/>
        <v>0</v>
      </c>
    </row>
    <row r="180" spans="1:2" ht="15.75" customHeight="1">
      <c r="A180" s="19">
        <v>179</v>
      </c>
      <c r="B180" s="9">
        <f t="shared" si="0"/>
        <v>0</v>
      </c>
    </row>
    <row r="181" spans="1:2" ht="15.75" customHeight="1">
      <c r="A181" s="19">
        <v>180</v>
      </c>
      <c r="B181" s="9">
        <f t="shared" si="0"/>
        <v>0</v>
      </c>
    </row>
    <row r="182" spans="1:2" ht="15.75" customHeight="1">
      <c r="A182" s="19">
        <v>181</v>
      </c>
      <c r="B182" s="9">
        <f t="shared" si="0"/>
        <v>0</v>
      </c>
    </row>
    <row r="183" spans="1:2" ht="15.75" customHeight="1">
      <c r="A183" s="19">
        <v>182</v>
      </c>
      <c r="B183" s="9">
        <f t="shared" si="0"/>
        <v>0</v>
      </c>
    </row>
    <row r="184" spans="1:2" ht="15.75" customHeight="1">
      <c r="A184" s="19">
        <v>183</v>
      </c>
      <c r="B184" s="9">
        <f t="shared" si="0"/>
        <v>0</v>
      </c>
    </row>
    <row r="185" spans="1:2" ht="15.75" customHeight="1">
      <c r="A185" s="19">
        <v>184</v>
      </c>
      <c r="B185" s="9">
        <f t="shared" si="0"/>
        <v>0</v>
      </c>
    </row>
    <row r="186" spans="1:2" ht="15.75" customHeight="1">
      <c r="A186" s="19">
        <v>185</v>
      </c>
      <c r="B186" s="9">
        <f t="shared" si="0"/>
        <v>0</v>
      </c>
    </row>
    <row r="187" spans="1:2" ht="15.75" customHeight="1">
      <c r="A187" s="19">
        <v>186</v>
      </c>
      <c r="B187" s="9">
        <f t="shared" si="0"/>
        <v>0</v>
      </c>
    </row>
    <row r="188" spans="1:2" ht="15.75" customHeight="1">
      <c r="A188" s="19">
        <v>187</v>
      </c>
      <c r="B188" s="9">
        <f t="shared" si="0"/>
        <v>0</v>
      </c>
    </row>
    <row r="189" spans="1:2" ht="15.75" customHeight="1">
      <c r="A189" s="19">
        <v>188</v>
      </c>
      <c r="B189" s="9">
        <f t="shared" si="0"/>
        <v>0</v>
      </c>
    </row>
    <row r="190" spans="1:2" ht="15.75" customHeight="1">
      <c r="A190" s="19">
        <v>189</v>
      </c>
      <c r="B190" s="9">
        <f t="shared" si="0"/>
        <v>0</v>
      </c>
    </row>
    <row r="191" spans="1:2" ht="15.75" customHeight="1">
      <c r="A191" s="19">
        <v>190</v>
      </c>
      <c r="B191" s="9">
        <f t="shared" si="0"/>
        <v>0</v>
      </c>
    </row>
    <row r="192" spans="1:2" ht="15.75" customHeight="1">
      <c r="A192" s="19">
        <v>191</v>
      </c>
      <c r="B192" s="9">
        <f t="shared" si="0"/>
        <v>0</v>
      </c>
    </row>
    <row r="193" spans="1:2" ht="15.75" customHeight="1">
      <c r="A193" s="19">
        <v>192</v>
      </c>
      <c r="B193" s="9">
        <f t="shared" si="0"/>
        <v>0</v>
      </c>
    </row>
    <row r="194" spans="1:2" ht="15.75" customHeight="1">
      <c r="A194" s="19">
        <v>193</v>
      </c>
      <c r="B194" s="9">
        <f t="shared" si="0"/>
        <v>0</v>
      </c>
    </row>
    <row r="195" spans="1:2" ht="15.75" customHeight="1">
      <c r="A195" s="19">
        <v>194</v>
      </c>
      <c r="B195" s="9">
        <f t="shared" si="0"/>
        <v>0</v>
      </c>
    </row>
    <row r="196" spans="1:2" ht="15.75" customHeight="1">
      <c r="A196" s="19">
        <v>195</v>
      </c>
      <c r="B196" s="9">
        <f t="shared" si="0"/>
        <v>0</v>
      </c>
    </row>
    <row r="197" spans="1:2" ht="15.75" customHeight="1">
      <c r="A197" s="19">
        <v>196</v>
      </c>
      <c r="B197" s="9">
        <f t="shared" si="0"/>
        <v>0</v>
      </c>
    </row>
    <row r="198" spans="1:2" ht="15.75" customHeight="1">
      <c r="A198" s="19">
        <v>197</v>
      </c>
      <c r="B198" s="9">
        <f t="shared" si="0"/>
        <v>0</v>
      </c>
    </row>
    <row r="199" spans="1:2" ht="15.75" customHeight="1">
      <c r="A199" s="19">
        <v>198</v>
      </c>
      <c r="B199" s="9">
        <f t="shared" si="0"/>
        <v>0</v>
      </c>
    </row>
    <row r="200" spans="1:2" ht="15.75" customHeight="1">
      <c r="A200" s="19">
        <v>199</v>
      </c>
      <c r="B200" s="9">
        <f t="shared" si="0"/>
        <v>0</v>
      </c>
    </row>
    <row r="201" spans="1:2" ht="15.75" customHeight="1">
      <c r="A201" s="19">
        <v>200</v>
      </c>
      <c r="B201" s="9">
        <f t="shared" si="0"/>
        <v>0</v>
      </c>
    </row>
    <row r="202" spans="1:2" ht="15.75" customHeight="1">
      <c r="A202" s="19">
        <v>201</v>
      </c>
      <c r="B202" s="9">
        <f t="shared" si="0"/>
        <v>0</v>
      </c>
    </row>
    <row r="203" spans="1:2" ht="15.75" customHeight="1">
      <c r="A203" s="19">
        <v>202</v>
      </c>
      <c r="B203" s="9">
        <f t="shared" si="0"/>
        <v>0</v>
      </c>
    </row>
    <row r="204" spans="1:2" ht="15.75" customHeight="1">
      <c r="A204" s="19">
        <v>203</v>
      </c>
      <c r="B204" s="9">
        <f t="shared" si="0"/>
        <v>0</v>
      </c>
    </row>
    <row r="205" spans="1:2" ht="15.75" customHeight="1">
      <c r="A205" s="19">
        <v>204</v>
      </c>
      <c r="B205" s="9">
        <f t="shared" si="0"/>
        <v>0</v>
      </c>
    </row>
    <row r="206" spans="1:2" ht="15.75" customHeight="1">
      <c r="A206" s="19">
        <v>205</v>
      </c>
      <c r="B206" s="9">
        <f t="shared" si="0"/>
        <v>0</v>
      </c>
    </row>
    <row r="207" spans="1:2" ht="15.75" customHeight="1">
      <c r="A207" s="19">
        <v>206</v>
      </c>
      <c r="B207" s="9">
        <f t="shared" si="0"/>
        <v>0</v>
      </c>
    </row>
    <row r="208" spans="1:2" ht="15.75" customHeight="1">
      <c r="A208" s="19">
        <v>207</v>
      </c>
      <c r="B208" s="9">
        <f t="shared" si="0"/>
        <v>0</v>
      </c>
    </row>
    <row r="209" spans="1:2" ht="15.75" customHeight="1">
      <c r="A209" s="19">
        <v>208</v>
      </c>
      <c r="B209" s="9">
        <f t="shared" si="0"/>
        <v>0</v>
      </c>
    </row>
    <row r="210" spans="1:2" ht="15.75" customHeight="1">
      <c r="A210" s="19">
        <v>209</v>
      </c>
      <c r="B210" s="9">
        <f t="shared" si="0"/>
        <v>0</v>
      </c>
    </row>
    <row r="211" spans="1:2" ht="15.75" customHeight="1">
      <c r="A211" s="19">
        <v>210</v>
      </c>
      <c r="B211" s="9">
        <f t="shared" si="0"/>
        <v>0</v>
      </c>
    </row>
    <row r="212" spans="1:2" ht="15.75" customHeight="1">
      <c r="A212" s="19">
        <v>211</v>
      </c>
      <c r="B212" s="9">
        <f t="shared" si="0"/>
        <v>0</v>
      </c>
    </row>
    <row r="213" spans="1:2" ht="15.75" customHeight="1">
      <c r="A213" s="19">
        <v>212</v>
      </c>
      <c r="B213" s="9">
        <f t="shared" si="0"/>
        <v>0</v>
      </c>
    </row>
    <row r="214" spans="1:2" ht="15.75" customHeight="1">
      <c r="A214" s="19">
        <v>213</v>
      </c>
      <c r="B214" s="9">
        <f t="shared" si="0"/>
        <v>0</v>
      </c>
    </row>
    <row r="215" spans="1:2" ht="15.75" customHeight="1">
      <c r="A215" s="19">
        <v>214</v>
      </c>
      <c r="B215" s="9">
        <f t="shared" si="0"/>
        <v>0</v>
      </c>
    </row>
    <row r="216" spans="1:2" ht="15.75" customHeight="1">
      <c r="A216" s="19">
        <v>215</v>
      </c>
      <c r="B216" s="9">
        <f t="shared" si="0"/>
        <v>0</v>
      </c>
    </row>
    <row r="217" spans="1:2" ht="15.75" customHeight="1">
      <c r="A217" s="19">
        <v>216</v>
      </c>
      <c r="B217" s="9">
        <f t="shared" si="0"/>
        <v>0</v>
      </c>
    </row>
    <row r="218" spans="1:2" ht="15.75" customHeight="1">
      <c r="A218" s="19">
        <v>217</v>
      </c>
      <c r="B218" s="9">
        <f t="shared" si="0"/>
        <v>0</v>
      </c>
    </row>
    <row r="219" spans="1:2" ht="15.75" customHeight="1">
      <c r="A219" s="19">
        <v>218</v>
      </c>
      <c r="B219" s="9">
        <f t="shared" si="0"/>
        <v>0</v>
      </c>
    </row>
    <row r="220" spans="1:2" ht="15.75" customHeight="1">
      <c r="A220" s="19">
        <v>219</v>
      </c>
      <c r="B220" s="9">
        <f t="shared" si="0"/>
        <v>0</v>
      </c>
    </row>
    <row r="221" spans="1:2" ht="15.75" customHeight="1">
      <c r="A221" s="19">
        <v>220</v>
      </c>
      <c r="B221" s="9">
        <f t="shared" si="0"/>
        <v>0</v>
      </c>
    </row>
    <row r="222" spans="1:2" ht="15.75" customHeight="1">
      <c r="A222" s="19">
        <v>221</v>
      </c>
      <c r="B222" s="9">
        <f t="shared" si="0"/>
        <v>0</v>
      </c>
    </row>
    <row r="223" spans="1:2" ht="15.75" customHeight="1">
      <c r="A223" s="19">
        <v>222</v>
      </c>
      <c r="B223" s="9">
        <f t="shared" si="0"/>
        <v>0</v>
      </c>
    </row>
    <row r="224" spans="1:2" ht="15.75" customHeight="1">
      <c r="A224" s="19">
        <v>223</v>
      </c>
      <c r="B224" s="9">
        <f t="shared" si="0"/>
        <v>0</v>
      </c>
    </row>
    <row r="225" spans="1:2" ht="15.75" customHeight="1">
      <c r="A225" s="19">
        <v>224</v>
      </c>
      <c r="B225" s="9">
        <f t="shared" si="0"/>
        <v>0</v>
      </c>
    </row>
    <row r="226" spans="1:2" ht="15.75" customHeight="1">
      <c r="A226" s="19">
        <v>225</v>
      </c>
      <c r="B226" s="9">
        <f t="shared" si="0"/>
        <v>0</v>
      </c>
    </row>
    <row r="227" spans="1:2" ht="15.75" customHeight="1">
      <c r="A227" s="19">
        <v>226</v>
      </c>
      <c r="B227" s="9">
        <f t="shared" si="0"/>
        <v>0</v>
      </c>
    </row>
    <row r="228" spans="1:2" ht="15.75" customHeight="1">
      <c r="A228" s="19">
        <v>227</v>
      </c>
      <c r="B228" s="9">
        <f t="shared" si="0"/>
        <v>0</v>
      </c>
    </row>
    <row r="229" spans="1:2" ht="15.75" customHeight="1">
      <c r="A229" s="19">
        <v>228</v>
      </c>
      <c r="B229" s="9">
        <f t="shared" si="0"/>
        <v>0</v>
      </c>
    </row>
    <row r="230" spans="1:2" ht="15.75" customHeight="1">
      <c r="A230" s="19">
        <v>229</v>
      </c>
      <c r="B230" s="9">
        <f t="shared" si="0"/>
        <v>0</v>
      </c>
    </row>
    <row r="231" spans="1:2" ht="15.75" customHeight="1">
      <c r="A231" s="19">
        <v>230</v>
      </c>
      <c r="B231" s="9">
        <f t="shared" si="0"/>
        <v>0</v>
      </c>
    </row>
    <row r="232" spans="1:2" ht="15.75" customHeight="1">
      <c r="A232" s="19">
        <v>231</v>
      </c>
      <c r="B232" s="9">
        <f t="shared" si="0"/>
        <v>0</v>
      </c>
    </row>
    <row r="233" spans="1:2" ht="15.75" customHeight="1">
      <c r="A233" s="19">
        <v>232</v>
      </c>
      <c r="B233" s="9">
        <f t="shared" si="0"/>
        <v>0</v>
      </c>
    </row>
    <row r="234" spans="1:2" ht="15.75" customHeight="1">
      <c r="A234" s="19">
        <v>233</v>
      </c>
      <c r="B234" s="9">
        <f t="shared" si="0"/>
        <v>0</v>
      </c>
    </row>
    <row r="235" spans="1:2" ht="15.75" customHeight="1">
      <c r="A235" s="19">
        <v>234</v>
      </c>
      <c r="B235" s="9">
        <f t="shared" si="0"/>
        <v>0</v>
      </c>
    </row>
    <row r="236" spans="1:2" ht="15.75" customHeight="1">
      <c r="A236" s="19">
        <v>235</v>
      </c>
      <c r="B236" s="9">
        <f t="shared" si="0"/>
        <v>0</v>
      </c>
    </row>
    <row r="237" spans="1:2" ht="15.75" customHeight="1">
      <c r="A237" s="19">
        <v>236</v>
      </c>
      <c r="B237" s="9">
        <f t="shared" si="0"/>
        <v>0</v>
      </c>
    </row>
    <row r="238" spans="1:2" ht="15.75" customHeight="1">
      <c r="A238" s="19">
        <v>237</v>
      </c>
      <c r="B238" s="9">
        <f t="shared" si="0"/>
        <v>0</v>
      </c>
    </row>
    <row r="239" spans="1:2" ht="15.75" customHeight="1">
      <c r="A239" s="19">
        <v>238</v>
      </c>
      <c r="B239" s="9">
        <f t="shared" si="0"/>
        <v>0</v>
      </c>
    </row>
    <row r="240" spans="1:2" ht="15.75" customHeight="1">
      <c r="A240" s="19">
        <v>239</v>
      </c>
      <c r="B240" s="9">
        <f t="shared" si="0"/>
        <v>0</v>
      </c>
    </row>
    <row r="241" spans="1:2" ht="15.75" customHeight="1">
      <c r="A241" s="19">
        <v>240</v>
      </c>
      <c r="B241" s="9">
        <f t="shared" si="0"/>
        <v>0</v>
      </c>
    </row>
    <row r="242" spans="1:2" ht="15.75" customHeight="1">
      <c r="A242" s="19">
        <v>241</v>
      </c>
      <c r="B242" s="9">
        <f t="shared" si="0"/>
        <v>0</v>
      </c>
    </row>
    <row r="243" spans="1:2" ht="15.75" customHeight="1">
      <c r="A243" s="19">
        <v>242</v>
      </c>
      <c r="B243" s="9">
        <f t="shared" si="0"/>
        <v>0</v>
      </c>
    </row>
    <row r="244" spans="1:2" ht="15.75" customHeight="1">
      <c r="A244" s="19">
        <v>243</v>
      </c>
      <c r="B244" s="9">
        <f t="shared" si="0"/>
        <v>0</v>
      </c>
    </row>
    <row r="245" spans="1:2" ht="15.75" customHeight="1">
      <c r="A245" s="19">
        <v>244</v>
      </c>
      <c r="B245" s="9">
        <f t="shared" si="0"/>
        <v>0</v>
      </c>
    </row>
    <row r="246" spans="1:2" ht="15.75" customHeight="1">
      <c r="A246" s="19">
        <v>245</v>
      </c>
      <c r="B246" s="9">
        <f t="shared" si="0"/>
        <v>0</v>
      </c>
    </row>
    <row r="247" spans="1:2" ht="15.75" customHeight="1">
      <c r="A247" s="19">
        <v>246</v>
      </c>
      <c r="B247" s="9">
        <f t="shared" si="0"/>
        <v>0</v>
      </c>
    </row>
    <row r="248" spans="1:2" ht="15.75" customHeight="1">
      <c r="A248" s="19">
        <v>247</v>
      </c>
      <c r="B248" s="9">
        <f t="shared" si="0"/>
        <v>0</v>
      </c>
    </row>
    <row r="249" spans="1:2" ht="15.75" customHeight="1">
      <c r="A249" s="19">
        <v>248</v>
      </c>
      <c r="B249" s="9">
        <f t="shared" si="0"/>
        <v>0</v>
      </c>
    </row>
    <row r="250" spans="1:2" ht="15.75" customHeight="1">
      <c r="A250" s="19">
        <v>249</v>
      </c>
      <c r="B250" s="9">
        <f t="shared" si="0"/>
        <v>0</v>
      </c>
    </row>
    <row r="251" spans="1:2" ht="15.75" customHeight="1">
      <c r="A251" s="19">
        <v>250</v>
      </c>
      <c r="B251" s="9">
        <f t="shared" si="0"/>
        <v>0</v>
      </c>
    </row>
    <row r="252" spans="1:2" ht="15.75" customHeight="1">
      <c r="A252" s="19">
        <v>251</v>
      </c>
      <c r="B252" s="9">
        <f t="shared" si="0"/>
        <v>0</v>
      </c>
    </row>
    <row r="253" spans="1:2" ht="15.75" customHeight="1">
      <c r="A253" s="19">
        <v>252</v>
      </c>
      <c r="B253" s="9">
        <f t="shared" si="0"/>
        <v>0</v>
      </c>
    </row>
    <row r="254" spans="1:2" ht="15.75" customHeight="1">
      <c r="A254" s="19">
        <v>253</v>
      </c>
      <c r="B254" s="9">
        <f t="shared" si="0"/>
        <v>0</v>
      </c>
    </row>
    <row r="255" spans="1:2" ht="15.75" customHeight="1">
      <c r="A255" s="19">
        <v>254</v>
      </c>
      <c r="B255" s="9">
        <f t="shared" si="0"/>
        <v>0</v>
      </c>
    </row>
    <row r="256" spans="1:2" ht="15.75" customHeight="1">
      <c r="A256" s="19">
        <v>255</v>
      </c>
      <c r="B256" s="9">
        <f t="shared" si="0"/>
        <v>0</v>
      </c>
    </row>
    <row r="257" spans="1:2" ht="15.75" customHeight="1">
      <c r="A257" s="19">
        <v>256</v>
      </c>
      <c r="B257" s="9">
        <f t="shared" si="0"/>
        <v>0</v>
      </c>
    </row>
    <row r="258" spans="1:2" ht="15.75" customHeight="1">
      <c r="A258" s="19">
        <v>257</v>
      </c>
      <c r="B258" s="9">
        <f t="shared" si="0"/>
        <v>0</v>
      </c>
    </row>
    <row r="259" spans="1:2" ht="15.75" customHeight="1">
      <c r="A259" s="19">
        <v>258</v>
      </c>
      <c r="B259" s="9">
        <f t="shared" si="0"/>
        <v>0</v>
      </c>
    </row>
    <row r="260" spans="1:2" ht="15.75" customHeight="1">
      <c r="A260" s="19">
        <v>259</v>
      </c>
      <c r="B260" s="9">
        <f t="shared" si="0"/>
        <v>0</v>
      </c>
    </row>
    <row r="261" spans="1:2" ht="15.75" customHeight="1">
      <c r="A261" s="19">
        <v>260</v>
      </c>
      <c r="B261" s="9">
        <f t="shared" si="0"/>
        <v>0</v>
      </c>
    </row>
    <row r="262" spans="1:2" ht="15.75" customHeight="1">
      <c r="A262" s="19">
        <v>261</v>
      </c>
      <c r="B262" s="9">
        <f t="shared" si="0"/>
        <v>0</v>
      </c>
    </row>
    <row r="263" spans="1:2" ht="15.75" customHeight="1">
      <c r="A263" s="19">
        <v>262</v>
      </c>
      <c r="B263" s="9">
        <f t="shared" si="0"/>
        <v>0</v>
      </c>
    </row>
    <row r="264" spans="1:2" ht="15.75" customHeight="1">
      <c r="A264" s="19">
        <v>263</v>
      </c>
      <c r="B264" s="9">
        <f t="shared" si="0"/>
        <v>0</v>
      </c>
    </row>
    <row r="265" spans="1:2" ht="15.75" customHeight="1">
      <c r="A265" s="19">
        <v>264</v>
      </c>
      <c r="B265" s="9">
        <f t="shared" si="0"/>
        <v>0</v>
      </c>
    </row>
    <row r="266" spans="1:2" ht="15.75" customHeight="1">
      <c r="A266" s="19">
        <v>265</v>
      </c>
      <c r="B266" s="9">
        <f t="shared" si="0"/>
        <v>0</v>
      </c>
    </row>
    <row r="267" spans="1:2" ht="15.75" customHeight="1">
      <c r="A267" s="19">
        <v>266</v>
      </c>
      <c r="B267" s="9">
        <f t="shared" si="0"/>
        <v>0</v>
      </c>
    </row>
    <row r="268" spans="1:2" ht="15.75" customHeight="1">
      <c r="A268" s="19">
        <v>267</v>
      </c>
      <c r="B268" s="9">
        <f t="shared" si="0"/>
        <v>0</v>
      </c>
    </row>
    <row r="269" spans="1:2" ht="15.75" customHeight="1">
      <c r="A269" s="19">
        <v>268</v>
      </c>
      <c r="B269" s="9">
        <f t="shared" si="0"/>
        <v>0</v>
      </c>
    </row>
    <row r="270" spans="1:2" ht="15.75" customHeight="1">
      <c r="A270" s="19">
        <v>269</v>
      </c>
      <c r="B270" s="9">
        <f t="shared" si="0"/>
        <v>0</v>
      </c>
    </row>
    <row r="271" spans="1:2" ht="15.75" customHeight="1">
      <c r="A271" s="19">
        <v>270</v>
      </c>
      <c r="B271" s="9">
        <f t="shared" si="0"/>
        <v>0</v>
      </c>
    </row>
    <row r="272" spans="1:2" ht="15.75" customHeight="1">
      <c r="A272" s="19">
        <v>271</v>
      </c>
      <c r="B272" s="9">
        <f t="shared" si="0"/>
        <v>0</v>
      </c>
    </row>
    <row r="273" spans="1:2" ht="15.75" customHeight="1">
      <c r="A273" s="19">
        <v>272</v>
      </c>
      <c r="B273" s="9">
        <f t="shared" si="0"/>
        <v>0</v>
      </c>
    </row>
    <row r="274" spans="1:2" ht="15.75" customHeight="1">
      <c r="A274" s="19">
        <v>273</v>
      </c>
      <c r="B274" s="9">
        <f t="shared" si="0"/>
        <v>0</v>
      </c>
    </row>
    <row r="275" spans="1:2" ht="15.75" customHeight="1">
      <c r="A275" s="19">
        <v>274</v>
      </c>
      <c r="B275" s="9">
        <f t="shared" si="0"/>
        <v>0</v>
      </c>
    </row>
    <row r="276" spans="1:2" ht="15.75" customHeight="1">
      <c r="A276" s="19">
        <v>275</v>
      </c>
      <c r="B276" s="9">
        <f t="shared" si="0"/>
        <v>0</v>
      </c>
    </row>
    <row r="277" spans="1:2" ht="15.75" customHeight="1">
      <c r="A277" s="19">
        <v>276</v>
      </c>
      <c r="B277" s="9">
        <f t="shared" si="0"/>
        <v>0</v>
      </c>
    </row>
    <row r="278" spans="1:2" ht="15.75" customHeight="1">
      <c r="A278" s="19">
        <v>277</v>
      </c>
      <c r="B278" s="9">
        <f t="shared" si="0"/>
        <v>0</v>
      </c>
    </row>
    <row r="279" spans="1:2" ht="15.75" customHeight="1">
      <c r="A279" s="19">
        <v>278</v>
      </c>
      <c r="B279" s="9">
        <f t="shared" si="0"/>
        <v>0</v>
      </c>
    </row>
    <row r="280" spans="1:2" ht="15.75" customHeight="1">
      <c r="A280" s="19">
        <v>279</v>
      </c>
      <c r="B280" s="9">
        <f t="shared" si="0"/>
        <v>0</v>
      </c>
    </row>
    <row r="281" spans="1:2" ht="15.75" customHeight="1">
      <c r="A281" s="19">
        <v>280</v>
      </c>
      <c r="B281" s="9">
        <f t="shared" si="0"/>
        <v>0</v>
      </c>
    </row>
    <row r="282" spans="1:2" ht="15.75" customHeight="1">
      <c r="A282" s="19">
        <v>281</v>
      </c>
      <c r="B282" s="9">
        <f t="shared" si="0"/>
        <v>0</v>
      </c>
    </row>
    <row r="283" spans="1:2" ht="15.75" customHeight="1">
      <c r="A283" s="19">
        <v>282</v>
      </c>
      <c r="B283" s="9">
        <f t="shared" si="0"/>
        <v>0</v>
      </c>
    </row>
    <row r="284" spans="1:2" ht="15.75" customHeight="1">
      <c r="A284" s="19">
        <v>283</v>
      </c>
      <c r="B284" s="9">
        <f t="shared" si="0"/>
        <v>0</v>
      </c>
    </row>
    <row r="285" spans="1:2" ht="15.75" customHeight="1">
      <c r="A285" s="19">
        <v>284</v>
      </c>
      <c r="B285" s="9">
        <f t="shared" si="0"/>
        <v>0</v>
      </c>
    </row>
    <row r="286" spans="1:2" ht="15.75" customHeight="1">
      <c r="A286" s="19">
        <v>285</v>
      </c>
      <c r="B286" s="9">
        <f t="shared" si="0"/>
        <v>0</v>
      </c>
    </row>
    <row r="287" spans="1:2" ht="15.75" customHeight="1">
      <c r="A287" s="19">
        <v>286</v>
      </c>
      <c r="B287" s="9">
        <f t="shared" si="0"/>
        <v>0</v>
      </c>
    </row>
    <row r="288" spans="1:2" ht="15.75" customHeight="1">
      <c r="A288" s="19">
        <v>287</v>
      </c>
      <c r="B288" s="9">
        <f t="shared" si="0"/>
        <v>0</v>
      </c>
    </row>
    <row r="289" spans="1:2" ht="15.75" customHeight="1">
      <c r="A289" s="19">
        <v>288</v>
      </c>
      <c r="B289" s="9">
        <f t="shared" si="0"/>
        <v>0</v>
      </c>
    </row>
    <row r="290" spans="1:2" ht="15.75" customHeight="1">
      <c r="A290" s="19">
        <v>289</v>
      </c>
      <c r="B290" s="9">
        <f t="shared" si="0"/>
        <v>0</v>
      </c>
    </row>
    <row r="291" spans="1:2" ht="15.75" customHeight="1">
      <c r="A291" s="19">
        <v>290</v>
      </c>
      <c r="B291" s="9">
        <f t="shared" si="0"/>
        <v>0</v>
      </c>
    </row>
    <row r="292" spans="1:2" ht="15.75" customHeight="1">
      <c r="A292" s="19">
        <v>291</v>
      </c>
      <c r="B292" s="9">
        <f t="shared" si="0"/>
        <v>0</v>
      </c>
    </row>
    <row r="293" spans="1:2" ht="15.75" customHeight="1">
      <c r="A293" s="19">
        <v>292</v>
      </c>
      <c r="B293" s="9">
        <f t="shared" si="0"/>
        <v>0</v>
      </c>
    </row>
    <row r="294" spans="1:2" ht="15.75" customHeight="1">
      <c r="A294" s="19">
        <v>293</v>
      </c>
      <c r="B294" s="9">
        <f t="shared" si="0"/>
        <v>0</v>
      </c>
    </row>
    <row r="295" spans="1:2" ht="15.75" customHeight="1">
      <c r="A295" s="19">
        <v>294</v>
      </c>
      <c r="B295" s="9">
        <f t="shared" si="0"/>
        <v>0</v>
      </c>
    </row>
    <row r="296" spans="1:2" ht="15.75" customHeight="1">
      <c r="A296" s="19">
        <v>295</v>
      </c>
      <c r="B296" s="9">
        <f t="shared" si="0"/>
        <v>0</v>
      </c>
    </row>
    <row r="297" spans="1:2" ht="15.75" customHeight="1">
      <c r="A297" s="19">
        <v>296</v>
      </c>
      <c r="B297" s="9">
        <f t="shared" si="0"/>
        <v>0</v>
      </c>
    </row>
    <row r="298" spans="1:2" ht="15.75" customHeight="1">
      <c r="A298" s="19">
        <v>297</v>
      </c>
      <c r="B298" s="9">
        <f t="shared" si="0"/>
        <v>0</v>
      </c>
    </row>
    <row r="299" spans="1:2" ht="15.75" customHeight="1">
      <c r="A299" s="19">
        <v>298</v>
      </c>
      <c r="B299" s="9">
        <f t="shared" si="0"/>
        <v>0</v>
      </c>
    </row>
    <row r="300" spans="1:2" ht="15.75" customHeight="1">
      <c r="A300" s="19">
        <v>299</v>
      </c>
      <c r="B300" s="9">
        <f t="shared" si="0"/>
        <v>0</v>
      </c>
    </row>
    <row r="301" spans="1:2" ht="15.75" customHeight="1">
      <c r="A301" s="19">
        <v>300</v>
      </c>
      <c r="B301" s="9">
        <f t="shared" si="0"/>
        <v>0</v>
      </c>
    </row>
    <row r="302" spans="1:2" ht="15.75" customHeight="1">
      <c r="A302" s="19">
        <v>301</v>
      </c>
      <c r="B302" s="9">
        <f t="shared" si="0"/>
        <v>0</v>
      </c>
    </row>
    <row r="303" spans="1:2" ht="15.75" customHeight="1">
      <c r="A303" s="19">
        <v>302</v>
      </c>
      <c r="B303" s="9">
        <f t="shared" si="0"/>
        <v>0</v>
      </c>
    </row>
    <row r="304" spans="1:2" ht="15.75" customHeight="1">
      <c r="A304" s="19">
        <v>303</v>
      </c>
      <c r="B304" s="9">
        <f t="shared" si="0"/>
        <v>0</v>
      </c>
    </row>
    <row r="305" spans="1:2" ht="15.75" customHeight="1">
      <c r="A305" s="19">
        <v>304</v>
      </c>
      <c r="B305" s="9">
        <f t="shared" si="0"/>
        <v>0</v>
      </c>
    </row>
    <row r="306" spans="1:2" ht="15.75" customHeight="1">
      <c r="A306" s="19">
        <v>305</v>
      </c>
      <c r="B306" s="9">
        <f t="shared" si="0"/>
        <v>0</v>
      </c>
    </row>
    <row r="307" spans="1:2" ht="15.75" customHeight="1">
      <c r="A307" s="19">
        <v>306</v>
      </c>
      <c r="B307" s="9">
        <f t="shared" si="0"/>
        <v>0</v>
      </c>
    </row>
    <row r="308" spans="1:2" ht="15.75" customHeight="1">
      <c r="A308" s="19">
        <v>307</v>
      </c>
      <c r="B308" s="9">
        <f t="shared" si="0"/>
        <v>0</v>
      </c>
    </row>
    <row r="309" spans="1:2" ht="15.75" customHeight="1">
      <c r="A309" s="19">
        <v>308</v>
      </c>
      <c r="B309" s="9">
        <f t="shared" si="0"/>
        <v>0</v>
      </c>
    </row>
    <row r="310" spans="1:2" ht="15.75" customHeight="1">
      <c r="A310" s="19">
        <v>309</v>
      </c>
      <c r="B310" s="9">
        <f t="shared" si="0"/>
        <v>0</v>
      </c>
    </row>
    <row r="311" spans="1:2" ht="15.75" customHeight="1">
      <c r="A311" s="19">
        <v>310</v>
      </c>
      <c r="B311" s="9">
        <f t="shared" si="0"/>
        <v>0</v>
      </c>
    </row>
    <row r="312" spans="1:2" ht="15.75" customHeight="1">
      <c r="A312" s="19">
        <v>311</v>
      </c>
      <c r="B312" s="9">
        <f t="shared" si="0"/>
        <v>0</v>
      </c>
    </row>
    <row r="313" spans="1:2" ht="15.75" customHeight="1">
      <c r="A313" s="19">
        <v>312</v>
      </c>
      <c r="B313" s="9">
        <f t="shared" si="0"/>
        <v>0</v>
      </c>
    </row>
    <row r="314" spans="1:2" ht="15.75" customHeight="1">
      <c r="A314" s="19">
        <v>313</v>
      </c>
      <c r="B314" s="9">
        <f t="shared" si="0"/>
        <v>0</v>
      </c>
    </row>
    <row r="315" spans="1:2" ht="15.75" customHeight="1">
      <c r="A315" s="19">
        <v>314</v>
      </c>
      <c r="B315" s="9">
        <f t="shared" si="0"/>
        <v>0</v>
      </c>
    </row>
    <row r="316" spans="1:2" ht="15.75" customHeight="1">
      <c r="A316" s="19">
        <v>315</v>
      </c>
      <c r="B316" s="9">
        <f t="shared" si="0"/>
        <v>0</v>
      </c>
    </row>
    <row r="317" spans="1:2" ht="15.75" customHeight="1">
      <c r="A317" s="19">
        <v>316</v>
      </c>
      <c r="B317" s="9">
        <f t="shared" si="0"/>
        <v>0</v>
      </c>
    </row>
    <row r="318" spans="1:2" ht="15.75" customHeight="1">
      <c r="A318" s="19">
        <v>317</v>
      </c>
      <c r="B318" s="9">
        <f t="shared" si="0"/>
        <v>0</v>
      </c>
    </row>
    <row r="319" spans="1:2" ht="15.75" customHeight="1">
      <c r="A319" s="19">
        <v>318</v>
      </c>
      <c r="B319" s="9">
        <f t="shared" si="0"/>
        <v>0</v>
      </c>
    </row>
    <row r="320" spans="1:2" ht="15.75" customHeight="1">
      <c r="A320" s="19">
        <v>319</v>
      </c>
      <c r="B320" s="9">
        <f t="shared" si="0"/>
        <v>0</v>
      </c>
    </row>
    <row r="321" spans="1:2" ht="15.75" customHeight="1">
      <c r="A321" s="19">
        <v>320</v>
      </c>
      <c r="B321" s="9">
        <f t="shared" si="0"/>
        <v>0</v>
      </c>
    </row>
    <row r="322" spans="1:2" ht="15.75" customHeight="1">
      <c r="A322" s="19">
        <v>321</v>
      </c>
      <c r="B322" s="9">
        <f t="shared" si="0"/>
        <v>0</v>
      </c>
    </row>
    <row r="323" spans="1:2" ht="15.75" customHeight="1">
      <c r="A323" s="19">
        <v>322</v>
      </c>
      <c r="B323" s="9">
        <f t="shared" si="0"/>
        <v>0</v>
      </c>
    </row>
    <row r="324" spans="1:2" ht="15.75" customHeight="1">
      <c r="A324" s="19">
        <v>323</v>
      </c>
      <c r="B324" s="9">
        <f t="shared" si="0"/>
        <v>0</v>
      </c>
    </row>
    <row r="325" spans="1:2" ht="15.75" customHeight="1">
      <c r="A325" s="19">
        <v>324</v>
      </c>
      <c r="B325" s="9">
        <f t="shared" si="0"/>
        <v>0</v>
      </c>
    </row>
    <row r="326" spans="1:2" ht="15.75" customHeight="1">
      <c r="A326" s="19">
        <v>325</v>
      </c>
      <c r="B326" s="9">
        <f t="shared" si="0"/>
        <v>0</v>
      </c>
    </row>
    <row r="327" spans="1:2" ht="15.75" customHeight="1">
      <c r="A327" s="19">
        <v>326</v>
      </c>
      <c r="B327" s="9">
        <f t="shared" si="0"/>
        <v>0</v>
      </c>
    </row>
    <row r="328" spans="1:2" ht="15.75" customHeight="1">
      <c r="A328" s="19">
        <v>327</v>
      </c>
      <c r="B328" s="9">
        <f t="shared" si="0"/>
        <v>0</v>
      </c>
    </row>
    <row r="329" spans="1:2" ht="15.75" customHeight="1">
      <c r="A329" s="19">
        <v>328</v>
      </c>
      <c r="B329" s="9">
        <f t="shared" si="0"/>
        <v>0</v>
      </c>
    </row>
    <row r="330" spans="1:2" ht="15.75" customHeight="1">
      <c r="A330" s="19">
        <v>329</v>
      </c>
      <c r="B330" s="9">
        <f t="shared" si="0"/>
        <v>0</v>
      </c>
    </row>
    <row r="331" spans="1:2" ht="15.75" customHeight="1">
      <c r="A331" s="19">
        <v>330</v>
      </c>
      <c r="B331" s="9">
        <f t="shared" si="0"/>
        <v>0</v>
      </c>
    </row>
    <row r="332" spans="1:2" ht="15.75" customHeight="1">
      <c r="A332" s="19">
        <v>331</v>
      </c>
      <c r="B332" s="9">
        <f t="shared" si="0"/>
        <v>0</v>
      </c>
    </row>
    <row r="333" spans="1:2" ht="15.75" customHeight="1">
      <c r="A333" s="19">
        <v>332</v>
      </c>
      <c r="B333" s="9">
        <f t="shared" si="0"/>
        <v>0</v>
      </c>
    </row>
    <row r="334" spans="1:2" ht="15.75" customHeight="1">
      <c r="A334" s="19">
        <v>333</v>
      </c>
      <c r="B334" s="9">
        <f t="shared" si="0"/>
        <v>0</v>
      </c>
    </row>
    <row r="335" spans="1:2" ht="15.75" customHeight="1">
      <c r="A335" s="19">
        <v>334</v>
      </c>
      <c r="B335" s="9">
        <f t="shared" si="0"/>
        <v>0</v>
      </c>
    </row>
    <row r="336" spans="1:2" ht="15.75" customHeight="1">
      <c r="A336" s="19">
        <v>335</v>
      </c>
      <c r="B336" s="9">
        <f t="shared" si="0"/>
        <v>0</v>
      </c>
    </row>
    <row r="337" spans="1:2" ht="15.75" customHeight="1">
      <c r="A337" s="19">
        <v>336</v>
      </c>
      <c r="B337" s="9">
        <f t="shared" si="0"/>
        <v>0</v>
      </c>
    </row>
    <row r="338" spans="1:2" ht="15.75" customHeight="1">
      <c r="A338" s="19">
        <v>337</v>
      </c>
      <c r="B338" s="9">
        <f t="shared" si="0"/>
        <v>0</v>
      </c>
    </row>
    <row r="339" spans="1:2" ht="15.75" customHeight="1">
      <c r="A339" s="19">
        <v>338</v>
      </c>
      <c r="B339" s="9">
        <f t="shared" si="0"/>
        <v>0</v>
      </c>
    </row>
    <row r="340" spans="1:2" ht="15.75" customHeight="1">
      <c r="A340" s="19">
        <v>339</v>
      </c>
      <c r="B340" s="9">
        <f t="shared" si="0"/>
        <v>0</v>
      </c>
    </row>
    <row r="341" spans="1:2" ht="15.75" customHeight="1">
      <c r="A341" s="19">
        <v>340</v>
      </c>
      <c r="B341" s="9">
        <f t="shared" si="0"/>
        <v>0</v>
      </c>
    </row>
    <row r="342" spans="1:2" ht="15.75" customHeight="1">
      <c r="A342" s="19">
        <v>341</v>
      </c>
      <c r="B342" s="9">
        <f t="shared" si="0"/>
        <v>0</v>
      </c>
    </row>
    <row r="343" spans="1:2" ht="15.75" customHeight="1">
      <c r="A343" s="19">
        <v>342</v>
      </c>
      <c r="B343" s="9">
        <f t="shared" si="0"/>
        <v>0</v>
      </c>
    </row>
    <row r="344" spans="1:2" ht="15.75" customHeight="1">
      <c r="A344" s="19">
        <v>343</v>
      </c>
      <c r="B344" s="9">
        <f t="shared" si="0"/>
        <v>0</v>
      </c>
    </row>
    <row r="345" spans="1:2" ht="15.75" customHeight="1">
      <c r="A345" s="19">
        <v>344</v>
      </c>
      <c r="B345" s="9">
        <f t="shared" si="0"/>
        <v>0</v>
      </c>
    </row>
    <row r="346" spans="1:2" ht="15.75" customHeight="1">
      <c r="A346" s="19">
        <v>345</v>
      </c>
      <c r="B346" s="9">
        <f t="shared" si="0"/>
        <v>0</v>
      </c>
    </row>
    <row r="347" spans="1:2" ht="15.75" customHeight="1">
      <c r="A347" s="19">
        <v>346</v>
      </c>
      <c r="B347" s="9">
        <f t="shared" si="0"/>
        <v>0</v>
      </c>
    </row>
    <row r="348" spans="1:2" ht="15.75" customHeight="1">
      <c r="A348" s="19">
        <v>347</v>
      </c>
      <c r="B348" s="9">
        <f t="shared" si="0"/>
        <v>0</v>
      </c>
    </row>
    <row r="349" spans="1:2" ht="15.75" customHeight="1">
      <c r="A349" s="19">
        <v>348</v>
      </c>
      <c r="B349" s="9">
        <f t="shared" si="0"/>
        <v>0</v>
      </c>
    </row>
    <row r="350" spans="1:2" ht="15.75" customHeight="1">
      <c r="A350" s="19">
        <v>349</v>
      </c>
      <c r="B350" s="9">
        <f t="shared" si="0"/>
        <v>0</v>
      </c>
    </row>
    <row r="351" spans="1:2" ht="15.75" customHeight="1">
      <c r="A351" s="19">
        <v>350</v>
      </c>
      <c r="B351" s="9">
        <f t="shared" si="0"/>
        <v>0</v>
      </c>
    </row>
    <row r="352" spans="1:2" ht="15.75" customHeight="1">
      <c r="A352" s="19">
        <v>351</v>
      </c>
      <c r="B352" s="9">
        <f t="shared" si="0"/>
        <v>0</v>
      </c>
    </row>
    <row r="353" spans="1:2" ht="15.75" customHeight="1">
      <c r="A353" s="19">
        <v>352</v>
      </c>
      <c r="B353" s="9">
        <f t="shared" si="0"/>
        <v>0</v>
      </c>
    </row>
    <row r="354" spans="1:2" ht="15.75" customHeight="1">
      <c r="A354" s="19">
        <v>353</v>
      </c>
      <c r="B354" s="9">
        <f t="shared" si="0"/>
        <v>0</v>
      </c>
    </row>
    <row r="355" spans="1:2" ht="15.75" customHeight="1">
      <c r="A355" s="19">
        <v>354</v>
      </c>
      <c r="B355" s="9">
        <f t="shared" si="0"/>
        <v>0</v>
      </c>
    </row>
    <row r="356" spans="1:2" ht="15.75" customHeight="1">
      <c r="A356" s="19">
        <v>355</v>
      </c>
      <c r="B356" s="9">
        <f t="shared" si="0"/>
        <v>0</v>
      </c>
    </row>
    <row r="357" spans="1:2" ht="15.75" customHeight="1">
      <c r="A357" s="19">
        <v>356</v>
      </c>
      <c r="B357" s="9">
        <f t="shared" si="0"/>
        <v>0</v>
      </c>
    </row>
    <row r="358" spans="1:2" ht="15.75" customHeight="1">
      <c r="A358" s="19">
        <v>357</v>
      </c>
      <c r="B358" s="9">
        <f t="shared" si="0"/>
        <v>0</v>
      </c>
    </row>
    <row r="359" spans="1:2" ht="15.75" customHeight="1">
      <c r="A359" s="19">
        <v>358</v>
      </c>
      <c r="B359" s="9">
        <f t="shared" si="0"/>
        <v>0</v>
      </c>
    </row>
    <row r="360" spans="1:2" ht="15.75" customHeight="1">
      <c r="A360" s="19">
        <v>359</v>
      </c>
      <c r="B360" s="9">
        <f t="shared" si="0"/>
        <v>0</v>
      </c>
    </row>
    <row r="361" spans="1:2" ht="15.75" customHeight="1">
      <c r="A361" s="19">
        <v>360</v>
      </c>
      <c r="B361" s="9">
        <f t="shared" si="0"/>
        <v>0</v>
      </c>
    </row>
    <row r="362" spans="1:2" ht="15.75" customHeight="1">
      <c r="A362" s="19">
        <v>361</v>
      </c>
      <c r="B362" s="9">
        <f t="shared" si="0"/>
        <v>0</v>
      </c>
    </row>
    <row r="363" spans="1:2" ht="15.75" customHeight="1">
      <c r="A363" s="19">
        <v>362</v>
      </c>
      <c r="B363" s="9">
        <f t="shared" si="0"/>
        <v>0</v>
      </c>
    </row>
    <row r="364" spans="1:2" ht="15.75" customHeight="1">
      <c r="A364" s="19">
        <v>363</v>
      </c>
      <c r="B364" s="9">
        <f t="shared" si="0"/>
        <v>0</v>
      </c>
    </row>
    <row r="365" spans="1:2" ht="15.75" customHeight="1">
      <c r="A365" s="19">
        <v>364</v>
      </c>
      <c r="B365" s="9">
        <f t="shared" si="0"/>
        <v>0</v>
      </c>
    </row>
    <row r="366" spans="1:2" ht="15.75" customHeight="1">
      <c r="A366" s="19">
        <v>365</v>
      </c>
      <c r="B366" s="9">
        <f t="shared" si="0"/>
        <v>0</v>
      </c>
    </row>
    <row r="367" spans="1:2" ht="15.75" customHeight="1">
      <c r="A367" s="19">
        <v>366</v>
      </c>
      <c r="B367" s="9">
        <f t="shared" si="0"/>
        <v>0</v>
      </c>
    </row>
    <row r="368" spans="1:2" ht="15.75" customHeight="1">
      <c r="A368" s="19">
        <v>367</v>
      </c>
      <c r="B368" s="9">
        <f t="shared" si="0"/>
        <v>0</v>
      </c>
    </row>
    <row r="369" spans="1:2" ht="15.75" customHeight="1">
      <c r="A369" s="19">
        <v>368</v>
      </c>
      <c r="B369" s="9">
        <f t="shared" si="0"/>
        <v>0</v>
      </c>
    </row>
    <row r="370" spans="1:2" ht="15.75" customHeight="1">
      <c r="A370" s="19">
        <v>369</v>
      </c>
      <c r="B370" s="9">
        <f t="shared" si="0"/>
        <v>0</v>
      </c>
    </row>
    <row r="371" spans="1:2" ht="15.75" customHeight="1">
      <c r="A371" s="19">
        <v>370</v>
      </c>
      <c r="B371" s="9">
        <f t="shared" si="0"/>
        <v>0</v>
      </c>
    </row>
    <row r="372" spans="1:2" ht="15.75" customHeight="1">
      <c r="A372" s="19">
        <v>371</v>
      </c>
      <c r="B372" s="9">
        <f t="shared" si="0"/>
        <v>0</v>
      </c>
    </row>
    <row r="373" spans="1:2" ht="15.75" customHeight="1">
      <c r="A373" s="19">
        <v>372</v>
      </c>
      <c r="B373" s="9">
        <f t="shared" si="0"/>
        <v>0</v>
      </c>
    </row>
    <row r="374" spans="1:2" ht="15.75" customHeight="1">
      <c r="A374" s="19">
        <v>373</v>
      </c>
      <c r="B374" s="9">
        <f t="shared" si="0"/>
        <v>0</v>
      </c>
    </row>
    <row r="375" spans="1:2" ht="15.75" customHeight="1">
      <c r="A375" s="19">
        <v>374</v>
      </c>
      <c r="B375" s="9">
        <f t="shared" si="0"/>
        <v>0</v>
      </c>
    </row>
    <row r="376" spans="1:2" ht="15.75" customHeight="1">
      <c r="A376" s="19">
        <v>375</v>
      </c>
      <c r="B376" s="9">
        <f t="shared" si="0"/>
        <v>0</v>
      </c>
    </row>
    <row r="377" spans="1:2" ht="15.75" customHeight="1">
      <c r="A377" s="19">
        <v>376</v>
      </c>
      <c r="B377" s="9">
        <f t="shared" si="0"/>
        <v>0</v>
      </c>
    </row>
    <row r="378" spans="1:2" ht="15.75" customHeight="1">
      <c r="A378" s="19">
        <v>377</v>
      </c>
      <c r="B378" s="9">
        <f t="shared" si="0"/>
        <v>0</v>
      </c>
    </row>
    <row r="379" spans="1:2" ht="15.75" customHeight="1">
      <c r="A379" s="19">
        <v>378</v>
      </c>
      <c r="B379" s="9">
        <f t="shared" si="0"/>
        <v>0</v>
      </c>
    </row>
    <row r="380" spans="1:2" ht="15.75" customHeight="1">
      <c r="A380" s="19">
        <v>379</v>
      </c>
      <c r="B380" s="9">
        <f t="shared" si="0"/>
        <v>0</v>
      </c>
    </row>
    <row r="381" spans="1:2" ht="15.75" customHeight="1">
      <c r="A381" s="19">
        <v>380</v>
      </c>
      <c r="B381" s="9">
        <f t="shared" si="0"/>
        <v>0</v>
      </c>
    </row>
    <row r="382" spans="1:2" ht="15.75" customHeight="1">
      <c r="A382" s="19">
        <v>381</v>
      </c>
      <c r="B382" s="9">
        <f t="shared" si="0"/>
        <v>0</v>
      </c>
    </row>
    <row r="383" spans="1:2" ht="15.75" customHeight="1">
      <c r="A383" s="19">
        <v>382</v>
      </c>
      <c r="B383" s="9">
        <f t="shared" si="0"/>
        <v>0</v>
      </c>
    </row>
    <row r="384" spans="1:2" ht="15.75" customHeight="1">
      <c r="A384" s="19">
        <v>383</v>
      </c>
      <c r="B384" s="9">
        <f t="shared" si="0"/>
        <v>0</v>
      </c>
    </row>
    <row r="385" spans="1:2" ht="15.75" customHeight="1">
      <c r="A385" s="19">
        <v>384</v>
      </c>
      <c r="B385" s="9">
        <f t="shared" si="0"/>
        <v>0</v>
      </c>
    </row>
    <row r="386" spans="1:2" ht="15.75" customHeight="1">
      <c r="A386" s="19">
        <v>385</v>
      </c>
      <c r="B386" s="9">
        <f t="shared" si="0"/>
        <v>0</v>
      </c>
    </row>
    <row r="387" spans="1:2" ht="15.75" customHeight="1">
      <c r="A387" s="19">
        <v>386</v>
      </c>
      <c r="B387" s="9">
        <f t="shared" si="0"/>
        <v>0</v>
      </c>
    </row>
    <row r="388" spans="1:2" ht="15.75" customHeight="1">
      <c r="A388" s="19">
        <v>387</v>
      </c>
      <c r="B388" s="9">
        <f t="shared" si="0"/>
        <v>0</v>
      </c>
    </row>
    <row r="389" spans="1:2" ht="15.75" customHeight="1">
      <c r="A389" s="19">
        <v>388</v>
      </c>
      <c r="B389" s="9">
        <f t="shared" si="0"/>
        <v>0</v>
      </c>
    </row>
    <row r="390" spans="1:2" ht="15.75" customHeight="1">
      <c r="A390" s="19">
        <v>389</v>
      </c>
      <c r="B390" s="9">
        <f t="shared" si="0"/>
        <v>0</v>
      </c>
    </row>
    <row r="391" spans="1:2" ht="15.75" customHeight="1">
      <c r="A391" s="19">
        <v>390</v>
      </c>
      <c r="B391" s="9">
        <f t="shared" si="0"/>
        <v>0</v>
      </c>
    </row>
    <row r="392" spans="1:2" ht="15.75" customHeight="1">
      <c r="A392" s="19">
        <v>391</v>
      </c>
      <c r="B392" s="9">
        <f t="shared" si="0"/>
        <v>0</v>
      </c>
    </row>
    <row r="393" spans="1:2" ht="15.75" customHeight="1">
      <c r="A393" s="19">
        <v>392</v>
      </c>
      <c r="B393" s="9">
        <f t="shared" si="0"/>
        <v>0</v>
      </c>
    </row>
    <row r="394" spans="1:2" ht="15.75" customHeight="1">
      <c r="A394" s="19">
        <v>393</v>
      </c>
      <c r="B394" s="9">
        <f t="shared" si="0"/>
        <v>0</v>
      </c>
    </row>
    <row r="395" spans="1:2" ht="15.75" customHeight="1">
      <c r="A395" s="19">
        <v>394</v>
      </c>
      <c r="B395" s="9">
        <f t="shared" si="0"/>
        <v>0</v>
      </c>
    </row>
    <row r="396" spans="1:2" ht="15.75" customHeight="1">
      <c r="A396" s="19">
        <v>395</v>
      </c>
      <c r="B396" s="9">
        <f t="shared" si="0"/>
        <v>0</v>
      </c>
    </row>
    <row r="397" spans="1:2" ht="15.75" customHeight="1">
      <c r="A397" s="19">
        <v>396</v>
      </c>
      <c r="B397" s="9">
        <f t="shared" si="0"/>
        <v>0</v>
      </c>
    </row>
    <row r="398" spans="1:2" ht="15.75" customHeight="1">
      <c r="A398" s="19">
        <v>397</v>
      </c>
      <c r="B398" s="9">
        <f t="shared" si="0"/>
        <v>0</v>
      </c>
    </row>
    <row r="399" spans="1:2" ht="15.75" customHeight="1">
      <c r="A399" s="19">
        <v>398</v>
      </c>
      <c r="B399" s="9">
        <f t="shared" si="0"/>
        <v>0</v>
      </c>
    </row>
    <row r="400" spans="1:2" ht="15.75" customHeight="1">
      <c r="A400" s="19">
        <v>399</v>
      </c>
      <c r="B400" s="9">
        <f t="shared" si="0"/>
        <v>0</v>
      </c>
    </row>
    <row r="401" spans="1:2" ht="15.75" customHeight="1">
      <c r="A401" s="19">
        <v>400</v>
      </c>
      <c r="B401" s="9">
        <f t="shared" si="0"/>
        <v>0</v>
      </c>
    </row>
    <row r="402" spans="1:2" ht="15.75" customHeight="1">
      <c r="A402" s="19">
        <v>401</v>
      </c>
      <c r="B402" s="9">
        <f t="shared" si="0"/>
        <v>0</v>
      </c>
    </row>
    <row r="403" spans="1:2" ht="15.75" customHeight="1">
      <c r="A403" s="19">
        <v>402</v>
      </c>
      <c r="B403" s="9">
        <f t="shared" si="0"/>
        <v>0</v>
      </c>
    </row>
    <row r="404" spans="1:2" ht="15.75" customHeight="1">
      <c r="A404" s="19">
        <v>403</v>
      </c>
      <c r="B404" s="9">
        <f t="shared" si="0"/>
        <v>0</v>
      </c>
    </row>
    <row r="405" spans="1:2" ht="15.75" customHeight="1">
      <c r="A405" s="19">
        <v>404</v>
      </c>
      <c r="B405" s="9">
        <f t="shared" si="0"/>
        <v>0</v>
      </c>
    </row>
    <row r="406" spans="1:2" ht="15.75" customHeight="1">
      <c r="A406" s="19">
        <v>405</v>
      </c>
      <c r="B406" s="9">
        <f t="shared" si="0"/>
        <v>0</v>
      </c>
    </row>
    <row r="407" spans="1:2" ht="15.75" customHeight="1">
      <c r="A407" s="19">
        <v>406</v>
      </c>
      <c r="B407" s="9">
        <f t="shared" si="0"/>
        <v>0</v>
      </c>
    </row>
    <row r="408" spans="1:2" ht="15.75" customHeight="1">
      <c r="A408" s="19">
        <v>407</v>
      </c>
      <c r="B408" s="9">
        <f t="shared" si="0"/>
        <v>0</v>
      </c>
    </row>
    <row r="409" spans="1:2" ht="15.75" customHeight="1">
      <c r="A409" s="19">
        <v>408</v>
      </c>
      <c r="B409" s="9">
        <f t="shared" si="0"/>
        <v>0</v>
      </c>
    </row>
    <row r="410" spans="1:2" ht="15.75" customHeight="1">
      <c r="A410" s="19">
        <v>409</v>
      </c>
      <c r="B410" s="9">
        <f t="shared" si="0"/>
        <v>0</v>
      </c>
    </row>
    <row r="411" spans="1:2" ht="15.75" customHeight="1">
      <c r="A411" s="19">
        <v>410</v>
      </c>
      <c r="B411" s="9">
        <f t="shared" si="0"/>
        <v>0</v>
      </c>
    </row>
    <row r="412" spans="1:2" ht="15.75" customHeight="1">
      <c r="A412" s="19">
        <v>411</v>
      </c>
      <c r="B412" s="9">
        <f t="shared" si="0"/>
        <v>0</v>
      </c>
    </row>
    <row r="413" spans="1:2" ht="15.75" customHeight="1">
      <c r="A413" s="19">
        <v>412</v>
      </c>
      <c r="B413" s="9">
        <f t="shared" si="0"/>
        <v>0</v>
      </c>
    </row>
    <row r="414" spans="1:2" ht="15.75" customHeight="1">
      <c r="A414" s="19">
        <v>413</v>
      </c>
      <c r="B414" s="9">
        <f t="shared" si="0"/>
        <v>0</v>
      </c>
    </row>
    <row r="415" spans="1:2" ht="15.75" customHeight="1">
      <c r="A415" s="19">
        <v>414</v>
      </c>
      <c r="B415" s="9">
        <f t="shared" si="0"/>
        <v>0</v>
      </c>
    </row>
    <row r="416" spans="1:2" ht="15.75" customHeight="1">
      <c r="A416" s="19">
        <v>415</v>
      </c>
      <c r="B416" s="9">
        <f t="shared" si="0"/>
        <v>0</v>
      </c>
    </row>
    <row r="417" spans="1:2" ht="15.75" customHeight="1">
      <c r="A417" s="19">
        <v>416</v>
      </c>
      <c r="B417" s="9">
        <f t="shared" si="0"/>
        <v>0</v>
      </c>
    </row>
    <row r="418" spans="1:2" ht="15.75" customHeight="1">
      <c r="A418" s="19">
        <v>417</v>
      </c>
      <c r="B418" s="9">
        <f t="shared" si="0"/>
        <v>0</v>
      </c>
    </row>
    <row r="419" spans="1:2" ht="15.75" customHeight="1">
      <c r="A419" s="19">
        <v>418</v>
      </c>
      <c r="B419" s="9">
        <f t="shared" si="0"/>
        <v>0</v>
      </c>
    </row>
    <row r="420" spans="1:2" ht="15.75" customHeight="1">
      <c r="A420" s="19">
        <v>419</v>
      </c>
      <c r="B420" s="9">
        <f t="shared" si="0"/>
        <v>0</v>
      </c>
    </row>
    <row r="421" spans="1:2" ht="15.75" customHeight="1">
      <c r="A421" s="19">
        <v>420</v>
      </c>
      <c r="B421" s="9">
        <f t="shared" si="0"/>
        <v>0</v>
      </c>
    </row>
    <row r="422" spans="1:2" ht="15.75" customHeight="1">
      <c r="A422" s="19">
        <v>421</v>
      </c>
      <c r="B422" s="9">
        <f t="shared" si="0"/>
        <v>0</v>
      </c>
    </row>
    <row r="423" spans="1:2" ht="15.75" customHeight="1">
      <c r="A423" s="19">
        <v>422</v>
      </c>
      <c r="B423" s="9">
        <f t="shared" si="0"/>
        <v>0</v>
      </c>
    </row>
    <row r="424" spans="1:2" ht="15.75" customHeight="1">
      <c r="A424" s="19">
        <v>423</v>
      </c>
      <c r="B424" s="9">
        <f t="shared" si="0"/>
        <v>0</v>
      </c>
    </row>
    <row r="425" spans="1:2" ht="15.75" customHeight="1">
      <c r="A425" s="19">
        <v>424</v>
      </c>
      <c r="B425" s="9">
        <f t="shared" si="0"/>
        <v>0</v>
      </c>
    </row>
    <row r="426" spans="1:2" ht="15.75" customHeight="1">
      <c r="A426" s="19">
        <v>425</v>
      </c>
      <c r="B426" s="9">
        <f t="shared" si="0"/>
        <v>0</v>
      </c>
    </row>
    <row r="427" spans="1:2" ht="15.75" customHeight="1">
      <c r="A427" s="19">
        <v>426</v>
      </c>
      <c r="B427" s="9">
        <f t="shared" si="0"/>
        <v>0</v>
      </c>
    </row>
    <row r="428" spans="1:2" ht="15.75" customHeight="1">
      <c r="A428" s="19">
        <v>427</v>
      </c>
      <c r="B428" s="9">
        <f t="shared" si="0"/>
        <v>0</v>
      </c>
    </row>
    <row r="429" spans="1:2" ht="15.75" customHeight="1">
      <c r="A429" s="19">
        <v>428</v>
      </c>
      <c r="B429" s="9">
        <f t="shared" si="0"/>
        <v>0</v>
      </c>
    </row>
    <row r="430" spans="1:2" ht="15.75" customHeight="1">
      <c r="A430" s="19">
        <v>429</v>
      </c>
      <c r="B430" s="9">
        <f t="shared" si="0"/>
        <v>0</v>
      </c>
    </row>
    <row r="431" spans="1:2" ht="15.75" customHeight="1">
      <c r="A431" s="19">
        <v>430</v>
      </c>
      <c r="B431" s="9">
        <f t="shared" si="0"/>
        <v>0</v>
      </c>
    </row>
    <row r="432" spans="1:2" ht="15.75" customHeight="1">
      <c r="A432" s="19">
        <v>431</v>
      </c>
      <c r="B432" s="9">
        <f t="shared" si="0"/>
        <v>0</v>
      </c>
    </row>
    <row r="433" spans="1:2" ht="15.75" customHeight="1">
      <c r="A433" s="19">
        <v>432</v>
      </c>
      <c r="B433" s="9">
        <f t="shared" si="0"/>
        <v>0</v>
      </c>
    </row>
    <row r="434" spans="1:2" ht="15.75" customHeight="1">
      <c r="A434" s="19">
        <v>433</v>
      </c>
      <c r="B434" s="9">
        <f t="shared" si="0"/>
        <v>0</v>
      </c>
    </row>
    <row r="435" spans="1:2" ht="15.75" customHeight="1">
      <c r="A435" s="19">
        <v>434</v>
      </c>
      <c r="B435" s="9">
        <f t="shared" si="0"/>
        <v>0</v>
      </c>
    </row>
    <row r="436" spans="1:2" ht="15.75" customHeight="1">
      <c r="A436" s="19">
        <v>435</v>
      </c>
      <c r="B436" s="9">
        <f t="shared" si="0"/>
        <v>0</v>
      </c>
    </row>
    <row r="437" spans="1:2" ht="15.75" customHeight="1">
      <c r="A437" s="19">
        <v>436</v>
      </c>
      <c r="B437" s="9">
        <f t="shared" si="0"/>
        <v>0</v>
      </c>
    </row>
    <row r="438" spans="1:2" ht="15.75" customHeight="1">
      <c r="A438" s="19">
        <v>437</v>
      </c>
      <c r="B438" s="9">
        <f t="shared" si="0"/>
        <v>0</v>
      </c>
    </row>
    <row r="439" spans="1:2" ht="15.75" customHeight="1">
      <c r="A439" s="19">
        <v>438</v>
      </c>
      <c r="B439" s="9">
        <f t="shared" si="0"/>
        <v>0</v>
      </c>
    </row>
    <row r="440" spans="1:2" ht="15.75" customHeight="1">
      <c r="A440" s="19">
        <v>439</v>
      </c>
      <c r="B440" s="9">
        <f t="shared" si="0"/>
        <v>0</v>
      </c>
    </row>
    <row r="441" spans="1:2" ht="15.75" customHeight="1">
      <c r="A441" s="19">
        <v>440</v>
      </c>
      <c r="B441" s="9">
        <f t="shared" si="0"/>
        <v>0</v>
      </c>
    </row>
    <row r="442" spans="1:2" ht="15.75" customHeight="1">
      <c r="A442" s="19">
        <v>441</v>
      </c>
      <c r="B442" s="9">
        <f t="shared" si="0"/>
        <v>0</v>
      </c>
    </row>
    <row r="443" spans="1:2" ht="15.75" customHeight="1">
      <c r="A443" s="19">
        <v>442</v>
      </c>
      <c r="B443" s="9">
        <f t="shared" si="0"/>
        <v>0</v>
      </c>
    </row>
    <row r="444" spans="1:2" ht="15.75" customHeight="1">
      <c r="A444" s="19">
        <v>443</v>
      </c>
      <c r="B444" s="9">
        <f t="shared" si="0"/>
        <v>0</v>
      </c>
    </row>
    <row r="445" spans="1:2" ht="15.75" customHeight="1">
      <c r="A445" s="19">
        <v>444</v>
      </c>
      <c r="B445" s="9">
        <f t="shared" si="0"/>
        <v>0</v>
      </c>
    </row>
    <row r="446" spans="1:2" ht="15.75" customHeight="1">
      <c r="A446" s="19">
        <v>445</v>
      </c>
      <c r="B446" s="9">
        <f t="shared" si="0"/>
        <v>0</v>
      </c>
    </row>
    <row r="447" spans="1:2" ht="15.75" customHeight="1">
      <c r="A447" s="19">
        <v>446</v>
      </c>
      <c r="B447" s="9">
        <f t="shared" si="0"/>
        <v>0</v>
      </c>
    </row>
    <row r="448" spans="1:2" ht="15.75" customHeight="1">
      <c r="A448" s="19">
        <v>447</v>
      </c>
      <c r="B448" s="9">
        <f t="shared" si="0"/>
        <v>0</v>
      </c>
    </row>
    <row r="449" spans="1:2" ht="15.75" customHeight="1">
      <c r="A449" s="19">
        <v>448</v>
      </c>
      <c r="B449" s="9">
        <f t="shared" si="0"/>
        <v>0</v>
      </c>
    </row>
    <row r="450" spans="1:2" ht="15.75" customHeight="1">
      <c r="A450" s="19">
        <v>449</v>
      </c>
      <c r="B450" s="9">
        <f t="shared" si="0"/>
        <v>0</v>
      </c>
    </row>
    <row r="451" spans="1:2" ht="15.75" customHeight="1">
      <c r="A451" s="19">
        <v>450</v>
      </c>
      <c r="B451" s="9">
        <f t="shared" si="0"/>
        <v>0</v>
      </c>
    </row>
    <row r="452" spans="1:2" ht="15.75" customHeight="1">
      <c r="A452" s="19">
        <v>451</v>
      </c>
      <c r="B452" s="9">
        <f t="shared" si="0"/>
        <v>0</v>
      </c>
    </row>
    <row r="453" spans="1:2" ht="15.75" customHeight="1">
      <c r="A453" s="19">
        <v>452</v>
      </c>
      <c r="B453" s="9">
        <f t="shared" si="0"/>
        <v>0</v>
      </c>
    </row>
    <row r="454" spans="1:2" ht="15.75" customHeight="1">
      <c r="A454" s="19">
        <v>453</v>
      </c>
      <c r="B454" s="9">
        <f t="shared" si="0"/>
        <v>0</v>
      </c>
    </row>
    <row r="455" spans="1:2" ht="15.75" customHeight="1">
      <c r="A455" s="19">
        <v>454</v>
      </c>
      <c r="B455" s="9">
        <f t="shared" si="0"/>
        <v>0</v>
      </c>
    </row>
    <row r="456" spans="1:2" ht="15.75" customHeight="1">
      <c r="A456" s="19">
        <v>455</v>
      </c>
      <c r="B456" s="9">
        <f t="shared" si="0"/>
        <v>0</v>
      </c>
    </row>
    <row r="457" spans="1:2" ht="15.75" customHeight="1">
      <c r="A457" s="19">
        <v>456</v>
      </c>
      <c r="B457" s="9">
        <f t="shared" si="0"/>
        <v>0</v>
      </c>
    </row>
    <row r="458" spans="1:2" ht="15.75" customHeight="1">
      <c r="A458" s="19">
        <v>457</v>
      </c>
      <c r="B458" s="9">
        <f t="shared" si="0"/>
        <v>0</v>
      </c>
    </row>
    <row r="459" spans="1:2" ht="15.75" customHeight="1">
      <c r="A459" s="19">
        <v>458</v>
      </c>
      <c r="B459" s="9">
        <f t="shared" si="0"/>
        <v>0</v>
      </c>
    </row>
    <row r="460" spans="1:2" ht="15.75" customHeight="1">
      <c r="A460" s="19">
        <v>459</v>
      </c>
      <c r="B460" s="9">
        <f t="shared" si="0"/>
        <v>0</v>
      </c>
    </row>
    <row r="461" spans="1:2" ht="15.75" customHeight="1">
      <c r="A461" s="19">
        <v>460</v>
      </c>
      <c r="B461" s="9">
        <f t="shared" si="0"/>
        <v>0</v>
      </c>
    </row>
    <row r="462" spans="1:2" ht="15.75" customHeight="1">
      <c r="A462" s="19">
        <v>461</v>
      </c>
      <c r="B462" s="9">
        <f t="shared" si="0"/>
        <v>0</v>
      </c>
    </row>
    <row r="463" spans="1:2" ht="15.75" customHeight="1">
      <c r="A463" s="19">
        <v>462</v>
      </c>
      <c r="B463" s="9">
        <f t="shared" si="0"/>
        <v>0</v>
      </c>
    </row>
    <row r="464" spans="1:2" ht="15.75" customHeight="1">
      <c r="A464" s="19">
        <v>463</v>
      </c>
      <c r="B464" s="9">
        <f t="shared" si="0"/>
        <v>0</v>
      </c>
    </row>
    <row r="465" spans="1:2" ht="15.75" customHeight="1">
      <c r="A465" s="19">
        <v>464</v>
      </c>
      <c r="B465" s="9">
        <f t="shared" si="0"/>
        <v>0</v>
      </c>
    </row>
    <row r="466" spans="1:2" ht="15.75" customHeight="1">
      <c r="A466" s="19">
        <v>465</v>
      </c>
      <c r="B466" s="9">
        <f t="shared" si="0"/>
        <v>0</v>
      </c>
    </row>
    <row r="467" spans="1:2" ht="15.75" customHeight="1">
      <c r="A467" s="19">
        <v>466</v>
      </c>
      <c r="B467" s="9">
        <f t="shared" si="0"/>
        <v>0</v>
      </c>
    </row>
    <row r="468" spans="1:2" ht="15.75" customHeight="1">
      <c r="A468" s="19">
        <v>467</v>
      </c>
      <c r="B468" s="9">
        <f t="shared" si="0"/>
        <v>0</v>
      </c>
    </row>
    <row r="469" spans="1:2" ht="15.75" customHeight="1">
      <c r="A469" s="19">
        <v>468</v>
      </c>
      <c r="B469" s="9">
        <f t="shared" si="0"/>
        <v>0</v>
      </c>
    </row>
    <row r="470" spans="1:2" ht="15.75" customHeight="1">
      <c r="A470" s="19">
        <v>469</v>
      </c>
      <c r="B470" s="9">
        <f t="shared" si="0"/>
        <v>0</v>
      </c>
    </row>
    <row r="471" spans="1:2" ht="15.75" customHeight="1">
      <c r="A471" s="19">
        <v>470</v>
      </c>
      <c r="B471" s="9">
        <f t="shared" si="0"/>
        <v>0</v>
      </c>
    </row>
    <row r="472" spans="1:2" ht="15.75" customHeight="1">
      <c r="A472" s="19">
        <v>471</v>
      </c>
      <c r="B472" s="9">
        <f t="shared" si="0"/>
        <v>0</v>
      </c>
    </row>
    <row r="473" spans="1:2" ht="15.75" customHeight="1">
      <c r="A473" s="19">
        <v>472</v>
      </c>
      <c r="B473" s="9">
        <f t="shared" si="0"/>
        <v>0</v>
      </c>
    </row>
    <row r="474" spans="1:2" ht="15.75" customHeight="1">
      <c r="A474" s="19">
        <v>473</v>
      </c>
      <c r="B474" s="9">
        <f t="shared" si="0"/>
        <v>0</v>
      </c>
    </row>
    <row r="475" spans="1:2" ht="15.75" customHeight="1">
      <c r="A475" s="19">
        <v>474</v>
      </c>
      <c r="B475" s="9">
        <f t="shared" si="0"/>
        <v>0</v>
      </c>
    </row>
    <row r="476" spans="1:2" ht="15.75" customHeight="1">
      <c r="A476" s="19">
        <v>475</v>
      </c>
      <c r="B476" s="9">
        <f t="shared" si="0"/>
        <v>0</v>
      </c>
    </row>
    <row r="477" spans="1:2" ht="15.75" customHeight="1">
      <c r="A477" s="19">
        <v>476</v>
      </c>
      <c r="B477" s="9">
        <f t="shared" si="0"/>
        <v>0</v>
      </c>
    </row>
    <row r="478" spans="1:2" ht="15.75" customHeight="1">
      <c r="A478" s="19">
        <v>477</v>
      </c>
      <c r="B478" s="9">
        <f t="shared" si="0"/>
        <v>0</v>
      </c>
    </row>
    <row r="479" spans="1:2" ht="15.75" customHeight="1">
      <c r="A479" s="19">
        <v>478</v>
      </c>
      <c r="B479" s="9">
        <f t="shared" si="0"/>
        <v>0</v>
      </c>
    </row>
    <row r="480" spans="1:2" ht="15.75" customHeight="1">
      <c r="A480" s="19">
        <v>479</v>
      </c>
      <c r="B480" s="9">
        <f t="shared" si="0"/>
        <v>0</v>
      </c>
    </row>
    <row r="481" spans="1:2" ht="15.75" customHeight="1">
      <c r="A481" s="19">
        <v>480</v>
      </c>
      <c r="B481" s="9">
        <f t="shared" si="0"/>
        <v>0</v>
      </c>
    </row>
    <row r="482" spans="1:2" ht="15.75" customHeight="1">
      <c r="A482" s="19">
        <v>481</v>
      </c>
      <c r="B482" s="9">
        <f t="shared" si="0"/>
        <v>0</v>
      </c>
    </row>
    <row r="483" spans="1:2" ht="15.75" customHeight="1">
      <c r="A483" s="19">
        <v>482</v>
      </c>
      <c r="B483" s="9">
        <f t="shared" si="0"/>
        <v>0</v>
      </c>
    </row>
    <row r="484" spans="1:2" ht="15.75" customHeight="1">
      <c r="A484" s="19">
        <v>483</v>
      </c>
      <c r="B484" s="9">
        <f t="shared" si="0"/>
        <v>0</v>
      </c>
    </row>
    <row r="485" spans="1:2" ht="15.75" customHeight="1">
      <c r="A485" s="19">
        <v>484</v>
      </c>
      <c r="B485" s="9">
        <f t="shared" si="0"/>
        <v>0</v>
      </c>
    </row>
    <row r="486" spans="1:2" ht="15.75" customHeight="1">
      <c r="A486" s="19">
        <v>485</v>
      </c>
      <c r="B486" s="9">
        <f t="shared" si="0"/>
        <v>0</v>
      </c>
    </row>
    <row r="487" spans="1:2" ht="15.75" customHeight="1">
      <c r="A487" s="19">
        <v>486</v>
      </c>
      <c r="B487" s="9">
        <f t="shared" si="0"/>
        <v>0</v>
      </c>
    </row>
    <row r="488" spans="1:2" ht="15.75" customHeight="1">
      <c r="A488" s="19">
        <v>487</v>
      </c>
      <c r="B488" s="9">
        <f t="shared" si="0"/>
        <v>0</v>
      </c>
    </row>
    <row r="489" spans="1:2" ht="15.75" customHeight="1">
      <c r="A489" s="19">
        <v>488</v>
      </c>
      <c r="B489" s="9">
        <f t="shared" si="0"/>
        <v>0</v>
      </c>
    </row>
    <row r="490" spans="1:2" ht="15.75" customHeight="1">
      <c r="A490" s="19">
        <v>489</v>
      </c>
      <c r="B490" s="9">
        <f t="shared" si="0"/>
        <v>0</v>
      </c>
    </row>
    <row r="491" spans="1:2" ht="15.75" customHeight="1">
      <c r="A491" s="19">
        <v>490</v>
      </c>
      <c r="B491" s="9">
        <f t="shared" si="0"/>
        <v>0</v>
      </c>
    </row>
    <row r="492" spans="1:2" ht="15.75" customHeight="1">
      <c r="A492" s="19">
        <v>491</v>
      </c>
      <c r="B492" s="9">
        <f t="shared" si="0"/>
        <v>0</v>
      </c>
    </row>
    <row r="493" spans="1:2" ht="15.75" customHeight="1">
      <c r="A493" s="19">
        <v>492</v>
      </c>
      <c r="B493" s="9">
        <f t="shared" si="0"/>
        <v>0</v>
      </c>
    </row>
    <row r="494" spans="1:2" ht="15.75" customHeight="1">
      <c r="A494" s="19">
        <v>493</v>
      </c>
      <c r="B494" s="9">
        <f t="shared" si="0"/>
        <v>0</v>
      </c>
    </row>
    <row r="495" spans="1:2" ht="15.75" customHeight="1">
      <c r="A495" s="19">
        <v>494</v>
      </c>
      <c r="B495" s="9">
        <f t="shared" si="0"/>
        <v>0</v>
      </c>
    </row>
    <row r="496" spans="1:2" ht="15.75" customHeight="1">
      <c r="A496" s="19">
        <v>495</v>
      </c>
      <c r="B496" s="9">
        <f t="shared" si="0"/>
        <v>0</v>
      </c>
    </row>
    <row r="497" spans="1:2" ht="15.75" customHeight="1">
      <c r="A497" s="19">
        <v>496</v>
      </c>
      <c r="B497" s="9">
        <f t="shared" si="0"/>
        <v>0</v>
      </c>
    </row>
    <row r="498" spans="1:2" ht="15.75" customHeight="1">
      <c r="A498" s="19">
        <v>497</v>
      </c>
      <c r="B498" s="9">
        <f t="shared" si="0"/>
        <v>0</v>
      </c>
    </row>
    <row r="499" spans="1:2" ht="15.75" customHeight="1">
      <c r="A499" s="19">
        <v>498</v>
      </c>
      <c r="B499" s="9">
        <f t="shared" si="0"/>
        <v>0</v>
      </c>
    </row>
    <row r="500" spans="1:2" ht="15.75" customHeight="1">
      <c r="A500" s="19">
        <v>499</v>
      </c>
      <c r="B500" s="9">
        <f t="shared" si="0"/>
        <v>0</v>
      </c>
    </row>
    <row r="501" spans="1:2" ht="15.75" customHeight="1">
      <c r="A501" s="19">
        <v>500</v>
      </c>
      <c r="B501" s="9">
        <f t="shared" si="0"/>
        <v>0</v>
      </c>
    </row>
    <row r="502" spans="1:2" ht="15.75" customHeight="1">
      <c r="A502" s="19">
        <v>501</v>
      </c>
      <c r="B502" s="9">
        <f t="shared" si="0"/>
        <v>0</v>
      </c>
    </row>
    <row r="503" spans="1:2" ht="15.75" customHeight="1">
      <c r="A503" s="19">
        <v>502</v>
      </c>
      <c r="B503" s="9">
        <f t="shared" si="0"/>
        <v>0</v>
      </c>
    </row>
    <row r="504" spans="1:2" ht="15.75" customHeight="1">
      <c r="A504" s="19">
        <v>503</v>
      </c>
      <c r="B504" s="9">
        <f t="shared" si="0"/>
        <v>0</v>
      </c>
    </row>
    <row r="505" spans="1:2" ht="15.75" customHeight="1">
      <c r="A505" s="19">
        <v>504</v>
      </c>
      <c r="B505" s="9">
        <f t="shared" si="0"/>
        <v>0</v>
      </c>
    </row>
    <row r="506" spans="1:2" ht="15.75" customHeight="1">
      <c r="A506" s="19">
        <v>505</v>
      </c>
      <c r="B506" s="9">
        <f t="shared" si="0"/>
        <v>0</v>
      </c>
    </row>
    <row r="507" spans="1:2" ht="15.75" customHeight="1">
      <c r="A507" s="19">
        <v>506</v>
      </c>
      <c r="B507" s="9">
        <f t="shared" si="0"/>
        <v>0</v>
      </c>
    </row>
    <row r="508" spans="1:2" ht="15.75" customHeight="1">
      <c r="A508" s="19">
        <v>507</v>
      </c>
      <c r="B508" s="9">
        <f t="shared" si="0"/>
        <v>0</v>
      </c>
    </row>
    <row r="509" spans="1:2" ht="15.75" customHeight="1">
      <c r="A509" s="19">
        <v>508</v>
      </c>
      <c r="B509" s="9">
        <f t="shared" si="0"/>
        <v>0</v>
      </c>
    </row>
    <row r="510" spans="1:2" ht="15.75" customHeight="1">
      <c r="A510" s="19">
        <v>509</v>
      </c>
      <c r="B510" s="9">
        <f t="shared" si="0"/>
        <v>0</v>
      </c>
    </row>
    <row r="511" spans="1:2" ht="15.75" customHeight="1">
      <c r="A511" s="19">
        <v>510</v>
      </c>
      <c r="B511" s="9">
        <f t="shared" si="0"/>
        <v>0</v>
      </c>
    </row>
    <row r="512" spans="1:2" ht="15.75" customHeight="1">
      <c r="A512" s="19">
        <v>511</v>
      </c>
      <c r="B512" s="9">
        <f t="shared" si="0"/>
        <v>0</v>
      </c>
    </row>
    <row r="513" spans="1:2" ht="15.75" customHeight="1">
      <c r="A513" s="19">
        <v>512</v>
      </c>
      <c r="B513" s="9">
        <f t="shared" si="0"/>
        <v>0</v>
      </c>
    </row>
    <row r="514" spans="1:2" ht="15.75" customHeight="1">
      <c r="A514" s="19">
        <v>513</v>
      </c>
      <c r="B514" s="9">
        <f t="shared" si="0"/>
        <v>0</v>
      </c>
    </row>
    <row r="515" spans="1:2" ht="15.75" customHeight="1">
      <c r="A515" s="19">
        <v>514</v>
      </c>
      <c r="B515" s="9">
        <f t="shared" si="0"/>
        <v>0</v>
      </c>
    </row>
    <row r="516" spans="1:2" ht="15.75" customHeight="1">
      <c r="A516" s="19">
        <v>515</v>
      </c>
      <c r="B516" s="9">
        <f t="shared" si="0"/>
        <v>0</v>
      </c>
    </row>
    <row r="517" spans="1:2" ht="15.75" customHeight="1">
      <c r="A517" s="19">
        <v>516</v>
      </c>
      <c r="B517" s="9">
        <f t="shared" si="0"/>
        <v>0</v>
      </c>
    </row>
    <row r="518" spans="1:2" ht="15.75" customHeight="1">
      <c r="A518" s="19">
        <v>517</v>
      </c>
      <c r="B518" s="9">
        <f t="shared" si="0"/>
        <v>0</v>
      </c>
    </row>
    <row r="519" spans="1:2" ht="15.75" customHeight="1">
      <c r="A519" s="19">
        <v>518</v>
      </c>
      <c r="B519" s="9">
        <f t="shared" si="0"/>
        <v>0</v>
      </c>
    </row>
    <row r="520" spans="1:2" ht="15.75" customHeight="1">
      <c r="A520" s="19">
        <v>519</v>
      </c>
      <c r="B520" s="9">
        <f t="shared" si="0"/>
        <v>0</v>
      </c>
    </row>
    <row r="521" spans="1:2" ht="15.75" customHeight="1">
      <c r="A521" s="19">
        <v>520</v>
      </c>
      <c r="B521" s="9">
        <f t="shared" si="0"/>
        <v>0</v>
      </c>
    </row>
    <row r="522" spans="1:2" ht="15.75" customHeight="1">
      <c r="A522" s="19">
        <v>521</v>
      </c>
      <c r="B522" s="9">
        <f t="shared" si="0"/>
        <v>0</v>
      </c>
    </row>
    <row r="523" spans="1:2" ht="15.75" customHeight="1">
      <c r="A523" s="19">
        <v>522</v>
      </c>
      <c r="B523" s="9">
        <f t="shared" si="0"/>
        <v>0</v>
      </c>
    </row>
    <row r="524" spans="1:2" ht="15.75" customHeight="1">
      <c r="A524" s="19">
        <v>523</v>
      </c>
      <c r="B524" s="9">
        <f t="shared" si="0"/>
        <v>0</v>
      </c>
    </row>
    <row r="525" spans="1:2" ht="15.75" customHeight="1">
      <c r="A525" s="19">
        <v>524</v>
      </c>
      <c r="B525" s="9">
        <f t="shared" si="0"/>
        <v>0</v>
      </c>
    </row>
    <row r="526" spans="1:2" ht="15.75" customHeight="1">
      <c r="A526" s="19">
        <v>525</v>
      </c>
      <c r="B526" s="9">
        <f t="shared" si="0"/>
        <v>0</v>
      </c>
    </row>
    <row r="527" spans="1:2" ht="15.75" customHeight="1">
      <c r="A527" s="19">
        <v>526</v>
      </c>
      <c r="B527" s="9">
        <f t="shared" si="0"/>
        <v>0</v>
      </c>
    </row>
    <row r="528" spans="1:2" ht="15.75" customHeight="1">
      <c r="A528" s="19">
        <v>527</v>
      </c>
      <c r="B528" s="9">
        <f t="shared" si="0"/>
        <v>0</v>
      </c>
    </row>
    <row r="529" spans="1:2" ht="15.75" customHeight="1">
      <c r="A529" s="19">
        <v>528</v>
      </c>
      <c r="B529" s="9">
        <f t="shared" si="0"/>
        <v>0</v>
      </c>
    </row>
    <row r="530" spans="1:2" ht="15.75" customHeight="1">
      <c r="A530" s="19">
        <v>529</v>
      </c>
      <c r="B530" s="9">
        <f t="shared" si="0"/>
        <v>0</v>
      </c>
    </row>
    <row r="531" spans="1:2" ht="15.75" customHeight="1">
      <c r="A531" s="19">
        <v>530</v>
      </c>
      <c r="B531" s="9">
        <f t="shared" si="0"/>
        <v>0</v>
      </c>
    </row>
    <row r="532" spans="1:2" ht="15.75" customHeight="1">
      <c r="A532" s="19">
        <v>531</v>
      </c>
      <c r="B532" s="9">
        <f t="shared" si="0"/>
        <v>0</v>
      </c>
    </row>
    <row r="533" spans="1:2" ht="15.75" customHeight="1">
      <c r="A533" s="19">
        <v>532</v>
      </c>
      <c r="B533" s="9">
        <f t="shared" si="0"/>
        <v>0</v>
      </c>
    </row>
    <row r="534" spans="1:2" ht="15.75" customHeight="1">
      <c r="A534" s="19">
        <v>533</v>
      </c>
      <c r="B534" s="9">
        <f t="shared" si="0"/>
        <v>0</v>
      </c>
    </row>
    <row r="535" spans="1:2" ht="15.75" customHeight="1">
      <c r="A535" s="19">
        <v>534</v>
      </c>
      <c r="B535" s="9">
        <f t="shared" si="0"/>
        <v>0</v>
      </c>
    </row>
    <row r="536" spans="1:2" ht="15.75" customHeight="1">
      <c r="A536" s="19">
        <v>535</v>
      </c>
      <c r="B536" s="9">
        <f t="shared" si="0"/>
        <v>0</v>
      </c>
    </row>
    <row r="537" spans="1:2" ht="15.75" customHeight="1">
      <c r="A537" s="19">
        <v>536</v>
      </c>
      <c r="B537" s="9">
        <f t="shared" si="0"/>
        <v>0</v>
      </c>
    </row>
    <row r="538" spans="1:2" ht="15.75" customHeight="1">
      <c r="A538" s="19">
        <v>537</v>
      </c>
      <c r="B538" s="9">
        <f t="shared" si="0"/>
        <v>0</v>
      </c>
    </row>
    <row r="539" spans="1:2" ht="15.75" customHeight="1">
      <c r="A539" s="19">
        <v>538</v>
      </c>
      <c r="B539" s="9">
        <f t="shared" si="0"/>
        <v>0</v>
      </c>
    </row>
    <row r="540" spans="1:2" ht="15.75" customHeight="1">
      <c r="A540" s="19">
        <v>539</v>
      </c>
      <c r="B540" s="9">
        <f t="shared" si="0"/>
        <v>0</v>
      </c>
    </row>
    <row r="541" spans="1:2" ht="15.75" customHeight="1">
      <c r="A541" s="19">
        <v>540</v>
      </c>
      <c r="B541" s="9">
        <f t="shared" si="0"/>
        <v>0</v>
      </c>
    </row>
    <row r="542" spans="1:2" ht="15.75" customHeight="1">
      <c r="A542" s="19">
        <v>541</v>
      </c>
      <c r="B542" s="9">
        <f t="shared" si="0"/>
        <v>0</v>
      </c>
    </row>
    <row r="543" spans="1:2" ht="15.75" customHeight="1">
      <c r="A543" s="19">
        <v>542</v>
      </c>
      <c r="B543" s="9">
        <f t="shared" si="0"/>
        <v>0</v>
      </c>
    </row>
    <row r="544" spans="1:2" ht="15.75" customHeight="1">
      <c r="A544" s="19">
        <v>543</v>
      </c>
      <c r="B544" s="9">
        <f t="shared" si="0"/>
        <v>0</v>
      </c>
    </row>
    <row r="545" spans="1:2" ht="15.75" customHeight="1">
      <c r="A545" s="19">
        <v>544</v>
      </c>
      <c r="B545" s="9">
        <f t="shared" si="0"/>
        <v>0</v>
      </c>
    </row>
    <row r="546" spans="1:2" ht="15.75" customHeight="1">
      <c r="A546" s="19">
        <v>545</v>
      </c>
      <c r="B546" s="9">
        <f t="shared" si="0"/>
        <v>0</v>
      </c>
    </row>
    <row r="547" spans="1:2" ht="15.75" customHeight="1">
      <c r="A547" s="19">
        <v>546</v>
      </c>
      <c r="B547" s="9">
        <f t="shared" si="0"/>
        <v>0</v>
      </c>
    </row>
    <row r="548" spans="1:2" ht="15.75" customHeight="1">
      <c r="A548" s="19">
        <v>547</v>
      </c>
      <c r="B548" s="9">
        <f t="shared" si="0"/>
        <v>0</v>
      </c>
    </row>
    <row r="549" spans="1:2" ht="15.75" customHeight="1">
      <c r="A549" s="19">
        <v>548</v>
      </c>
      <c r="B549" s="9">
        <f t="shared" si="0"/>
        <v>0</v>
      </c>
    </row>
    <row r="550" spans="1:2" ht="15.75" customHeight="1">
      <c r="A550" s="19">
        <v>549</v>
      </c>
      <c r="B550" s="9">
        <f t="shared" si="0"/>
        <v>0</v>
      </c>
    </row>
    <row r="551" spans="1:2" ht="15.75" customHeight="1">
      <c r="A551" s="19">
        <v>550</v>
      </c>
      <c r="B551" s="9">
        <f t="shared" si="0"/>
        <v>0</v>
      </c>
    </row>
    <row r="552" spans="1:2" ht="15.75" customHeight="1">
      <c r="A552" s="19">
        <v>551</v>
      </c>
      <c r="B552" s="9">
        <f t="shared" si="0"/>
        <v>0</v>
      </c>
    </row>
    <row r="553" spans="1:2" ht="15.75" customHeight="1">
      <c r="A553" s="19">
        <v>552</v>
      </c>
      <c r="B553" s="9">
        <f t="shared" si="0"/>
        <v>0</v>
      </c>
    </row>
    <row r="554" spans="1:2" ht="15.75" customHeight="1">
      <c r="A554" s="19">
        <v>553</v>
      </c>
      <c r="B554" s="9">
        <f t="shared" si="0"/>
        <v>0</v>
      </c>
    </row>
    <row r="555" spans="1:2" ht="15.75" customHeight="1">
      <c r="A555" s="19">
        <v>554</v>
      </c>
      <c r="B555" s="9">
        <f t="shared" si="0"/>
        <v>0</v>
      </c>
    </row>
    <row r="556" spans="1:2" ht="15.75" customHeight="1">
      <c r="A556" s="19">
        <v>555</v>
      </c>
      <c r="B556" s="9">
        <f t="shared" si="0"/>
        <v>0</v>
      </c>
    </row>
    <row r="557" spans="1:2" ht="15.75" customHeight="1">
      <c r="A557" s="19">
        <v>556</v>
      </c>
      <c r="B557" s="9">
        <f t="shared" si="0"/>
        <v>0</v>
      </c>
    </row>
    <row r="558" spans="1:2" ht="15.75" customHeight="1">
      <c r="A558" s="19">
        <v>557</v>
      </c>
      <c r="B558" s="9">
        <f t="shared" si="0"/>
        <v>0</v>
      </c>
    </row>
    <row r="559" spans="1:2" ht="15.75" customHeight="1">
      <c r="A559" s="19">
        <v>558</v>
      </c>
      <c r="B559" s="9">
        <f t="shared" si="0"/>
        <v>0</v>
      </c>
    </row>
    <row r="560" spans="1:2" ht="15.75" customHeight="1">
      <c r="A560" s="19">
        <v>559</v>
      </c>
      <c r="B560" s="9">
        <f t="shared" si="0"/>
        <v>0</v>
      </c>
    </row>
    <row r="561" spans="1:2" ht="15.75" customHeight="1">
      <c r="A561" s="19">
        <v>560</v>
      </c>
      <c r="B561" s="9">
        <f t="shared" si="0"/>
        <v>0</v>
      </c>
    </row>
    <row r="562" spans="1:2" ht="15.75" customHeight="1">
      <c r="A562" s="19">
        <v>561</v>
      </c>
      <c r="B562" s="9">
        <f t="shared" si="0"/>
        <v>0</v>
      </c>
    </row>
    <row r="563" spans="1:2" ht="15.75" customHeight="1">
      <c r="A563" s="19">
        <v>562</v>
      </c>
      <c r="B563" s="9">
        <f t="shared" si="0"/>
        <v>0</v>
      </c>
    </row>
    <row r="564" spans="1:2" ht="15.75" customHeight="1">
      <c r="A564" s="19">
        <v>563</v>
      </c>
      <c r="B564" s="9">
        <f t="shared" si="0"/>
        <v>0</v>
      </c>
    </row>
    <row r="565" spans="1:2" ht="15.75" customHeight="1">
      <c r="A565" s="19">
        <v>564</v>
      </c>
      <c r="B565" s="9">
        <f t="shared" si="0"/>
        <v>0</v>
      </c>
    </row>
    <row r="566" spans="1:2" ht="15.75" customHeight="1">
      <c r="A566" s="19">
        <v>565</v>
      </c>
      <c r="B566" s="9">
        <f t="shared" si="0"/>
        <v>0</v>
      </c>
    </row>
    <row r="567" spans="1:2" ht="15.75" customHeight="1">
      <c r="A567" s="19">
        <v>566</v>
      </c>
      <c r="B567" s="9">
        <f t="shared" si="0"/>
        <v>0</v>
      </c>
    </row>
    <row r="568" spans="1:2" ht="15.75" customHeight="1">
      <c r="A568" s="19">
        <v>567</v>
      </c>
      <c r="B568" s="9">
        <f t="shared" si="0"/>
        <v>0</v>
      </c>
    </row>
    <row r="569" spans="1:2" ht="15.75" customHeight="1">
      <c r="A569" s="19">
        <v>568</v>
      </c>
      <c r="B569" s="9">
        <f t="shared" si="0"/>
        <v>0</v>
      </c>
    </row>
    <row r="570" spans="1:2" ht="15.75" customHeight="1">
      <c r="A570" s="19">
        <v>569</v>
      </c>
      <c r="B570" s="9">
        <f t="shared" si="0"/>
        <v>0</v>
      </c>
    </row>
    <row r="571" spans="1:2" ht="15.75" customHeight="1">
      <c r="A571" s="19">
        <v>570</v>
      </c>
      <c r="B571" s="9">
        <f t="shared" si="0"/>
        <v>0</v>
      </c>
    </row>
    <row r="572" spans="1:2" ht="15.75" customHeight="1">
      <c r="A572" s="19">
        <v>571</v>
      </c>
      <c r="B572" s="9">
        <f t="shared" si="0"/>
        <v>0</v>
      </c>
    </row>
    <row r="573" spans="1:2" ht="15.75" customHeight="1">
      <c r="A573" s="19">
        <v>572</v>
      </c>
      <c r="B573" s="9">
        <f t="shared" si="0"/>
        <v>0</v>
      </c>
    </row>
    <row r="574" spans="1:2" ht="15.75" customHeight="1">
      <c r="A574" s="19">
        <v>573</v>
      </c>
      <c r="B574" s="9">
        <f t="shared" si="0"/>
        <v>0</v>
      </c>
    </row>
    <row r="575" spans="1:2" ht="15.75" customHeight="1">
      <c r="A575" s="19">
        <v>574</v>
      </c>
      <c r="B575" s="9">
        <f t="shared" si="0"/>
        <v>0</v>
      </c>
    </row>
    <row r="576" spans="1:2" ht="15.75" customHeight="1">
      <c r="A576" s="19">
        <v>575</v>
      </c>
      <c r="B576" s="9">
        <f t="shared" si="0"/>
        <v>0</v>
      </c>
    </row>
    <row r="577" spans="1:2" ht="15.75" customHeight="1">
      <c r="A577" s="19">
        <v>576</v>
      </c>
      <c r="B577" s="9">
        <f t="shared" si="0"/>
        <v>0</v>
      </c>
    </row>
    <row r="578" spans="1:2" ht="15.75" customHeight="1">
      <c r="A578" s="19">
        <v>577</v>
      </c>
      <c r="B578" s="9">
        <f t="shared" si="0"/>
        <v>0</v>
      </c>
    </row>
    <row r="579" spans="1:2" ht="15.75" customHeight="1">
      <c r="A579" s="19">
        <v>578</v>
      </c>
      <c r="B579" s="9">
        <f t="shared" si="0"/>
        <v>0</v>
      </c>
    </row>
    <row r="580" spans="1:2" ht="15.75" customHeight="1">
      <c r="A580" s="19">
        <v>579</v>
      </c>
      <c r="B580" s="9">
        <f t="shared" si="0"/>
        <v>0</v>
      </c>
    </row>
    <row r="581" spans="1:2" ht="15.75" customHeight="1">
      <c r="A581" s="19">
        <v>580</v>
      </c>
      <c r="B581" s="9">
        <f t="shared" si="0"/>
        <v>0</v>
      </c>
    </row>
    <row r="582" spans="1:2" ht="15.75" customHeight="1">
      <c r="A582" s="19">
        <v>581</v>
      </c>
      <c r="B582" s="9">
        <f t="shared" si="0"/>
        <v>0</v>
      </c>
    </row>
    <row r="583" spans="1:2" ht="15.75" customHeight="1">
      <c r="A583" s="19">
        <v>582</v>
      </c>
      <c r="B583" s="9">
        <f t="shared" si="0"/>
        <v>0</v>
      </c>
    </row>
    <row r="584" spans="1:2" ht="15.75" customHeight="1">
      <c r="A584" s="19">
        <v>583</v>
      </c>
      <c r="B584" s="9">
        <f t="shared" si="0"/>
        <v>0</v>
      </c>
    </row>
    <row r="585" spans="1:2" ht="15.75" customHeight="1">
      <c r="A585" s="19">
        <v>584</v>
      </c>
      <c r="B585" s="9">
        <f t="shared" si="0"/>
        <v>0</v>
      </c>
    </row>
    <row r="586" spans="1:2" ht="15.75" customHeight="1">
      <c r="A586" s="19">
        <v>585</v>
      </c>
      <c r="B586" s="9">
        <f t="shared" si="0"/>
        <v>0</v>
      </c>
    </row>
    <row r="587" spans="1:2" ht="15.75" customHeight="1">
      <c r="A587" s="19">
        <v>586</v>
      </c>
      <c r="B587" s="9">
        <f t="shared" si="0"/>
        <v>0</v>
      </c>
    </row>
    <row r="588" spans="1:2" ht="15.75" customHeight="1">
      <c r="A588" s="19">
        <v>587</v>
      </c>
      <c r="B588" s="9">
        <f t="shared" si="0"/>
        <v>0</v>
      </c>
    </row>
    <row r="589" spans="1:2" ht="15.75" customHeight="1">
      <c r="A589" s="19">
        <v>588</v>
      </c>
      <c r="B589" s="9">
        <f t="shared" si="0"/>
        <v>0</v>
      </c>
    </row>
    <row r="590" spans="1:2" ht="15.75" customHeight="1">
      <c r="A590" s="19">
        <v>589</v>
      </c>
      <c r="B590" s="9">
        <f t="shared" si="0"/>
        <v>0</v>
      </c>
    </row>
    <row r="591" spans="1:2" ht="15.75" customHeight="1">
      <c r="A591" s="19">
        <v>590</v>
      </c>
      <c r="B591" s="9">
        <f t="shared" si="0"/>
        <v>0</v>
      </c>
    </row>
    <row r="592" spans="1:2" ht="15.75" customHeight="1">
      <c r="A592" s="19">
        <v>591</v>
      </c>
      <c r="B592" s="9">
        <f t="shared" si="0"/>
        <v>0</v>
      </c>
    </row>
    <row r="593" spans="1:2" ht="15.75" customHeight="1">
      <c r="A593" s="19">
        <v>592</v>
      </c>
      <c r="B593" s="9">
        <f t="shared" si="0"/>
        <v>0</v>
      </c>
    </row>
    <row r="594" spans="1:2" ht="15.75" customHeight="1">
      <c r="A594" s="19">
        <v>593</v>
      </c>
      <c r="B594" s="9">
        <f t="shared" si="0"/>
        <v>0</v>
      </c>
    </row>
    <row r="595" spans="1:2" ht="15.75" customHeight="1">
      <c r="A595" s="19">
        <v>594</v>
      </c>
      <c r="B595" s="9">
        <f t="shared" si="0"/>
        <v>0</v>
      </c>
    </row>
    <row r="596" spans="1:2" ht="15.75" customHeight="1">
      <c r="A596" s="19">
        <v>595</v>
      </c>
      <c r="B596" s="9">
        <f t="shared" si="0"/>
        <v>0</v>
      </c>
    </row>
    <row r="597" spans="1:2" ht="15.75" customHeight="1">
      <c r="A597" s="19">
        <v>596</v>
      </c>
      <c r="B597" s="9">
        <f t="shared" si="0"/>
        <v>0</v>
      </c>
    </row>
    <row r="598" spans="1:2" ht="15.75" customHeight="1">
      <c r="A598" s="19">
        <v>597</v>
      </c>
      <c r="B598" s="9">
        <f t="shared" si="0"/>
        <v>0</v>
      </c>
    </row>
    <row r="599" spans="1:2" ht="15.75" customHeight="1">
      <c r="A599" s="19">
        <v>598</v>
      </c>
      <c r="B599" s="9">
        <f t="shared" si="0"/>
        <v>0</v>
      </c>
    </row>
    <row r="600" spans="1:2" ht="15.75" customHeight="1">
      <c r="A600" s="19">
        <v>599</v>
      </c>
      <c r="B600" s="9">
        <f t="shared" si="0"/>
        <v>0</v>
      </c>
    </row>
    <row r="601" spans="1:2" ht="15.75" customHeight="1">
      <c r="A601" s="19">
        <v>600</v>
      </c>
      <c r="B601" s="9">
        <f t="shared" si="0"/>
        <v>0</v>
      </c>
    </row>
    <row r="602" spans="1:2" ht="15.75" customHeight="1">
      <c r="A602" s="19">
        <v>601</v>
      </c>
      <c r="B602" s="9">
        <f t="shared" si="0"/>
        <v>0</v>
      </c>
    </row>
    <row r="603" spans="1:2" ht="15.75" customHeight="1">
      <c r="A603" s="19">
        <v>602</v>
      </c>
      <c r="B603" s="9">
        <f t="shared" si="0"/>
        <v>0</v>
      </c>
    </row>
    <row r="604" spans="1:2" ht="15.75" customHeight="1">
      <c r="A604" s="19">
        <v>603</v>
      </c>
      <c r="B604" s="9">
        <f t="shared" si="0"/>
        <v>0</v>
      </c>
    </row>
    <row r="605" spans="1:2" ht="15.75" customHeight="1">
      <c r="A605" s="19">
        <v>604</v>
      </c>
      <c r="B605" s="9">
        <f t="shared" si="0"/>
        <v>0</v>
      </c>
    </row>
    <row r="606" spans="1:2" ht="15.75" customHeight="1">
      <c r="A606" s="19">
        <v>605</v>
      </c>
      <c r="B606" s="9">
        <f t="shared" si="0"/>
        <v>0</v>
      </c>
    </row>
    <row r="607" spans="1:2" ht="15.75" customHeight="1">
      <c r="A607" s="19">
        <v>606</v>
      </c>
      <c r="B607" s="9">
        <f t="shared" si="0"/>
        <v>0</v>
      </c>
    </row>
    <row r="608" spans="1:2" ht="15.75" customHeight="1">
      <c r="A608" s="19">
        <v>607</v>
      </c>
      <c r="B608" s="9">
        <f t="shared" si="0"/>
        <v>0</v>
      </c>
    </row>
    <row r="609" spans="1:2" ht="15.75" customHeight="1">
      <c r="A609" s="19">
        <v>608</v>
      </c>
      <c r="B609" s="9">
        <f t="shared" si="0"/>
        <v>0</v>
      </c>
    </row>
    <row r="610" spans="1:2" ht="15.75" customHeight="1">
      <c r="A610" s="19">
        <v>609</v>
      </c>
      <c r="B610" s="9">
        <f t="shared" si="0"/>
        <v>0</v>
      </c>
    </row>
    <row r="611" spans="1:2" ht="15.75" customHeight="1">
      <c r="A611" s="19">
        <v>610</v>
      </c>
      <c r="B611" s="9">
        <f t="shared" si="0"/>
        <v>0</v>
      </c>
    </row>
    <row r="612" spans="1:2" ht="15.75" customHeight="1">
      <c r="A612" s="19">
        <v>611</v>
      </c>
      <c r="B612" s="9">
        <f t="shared" si="0"/>
        <v>0</v>
      </c>
    </row>
    <row r="613" spans="1:2" ht="15.75" customHeight="1">
      <c r="A613" s="19">
        <v>612</v>
      </c>
      <c r="B613" s="9">
        <f t="shared" si="0"/>
        <v>0</v>
      </c>
    </row>
    <row r="614" spans="1:2" ht="15.75" customHeight="1">
      <c r="A614" s="19">
        <v>613</v>
      </c>
      <c r="B614" s="9">
        <f t="shared" si="0"/>
        <v>0</v>
      </c>
    </row>
    <row r="615" spans="1:2" ht="15.75" customHeight="1">
      <c r="A615" s="19">
        <v>614</v>
      </c>
      <c r="B615" s="9">
        <f t="shared" si="0"/>
        <v>0</v>
      </c>
    </row>
    <row r="616" spans="1:2" ht="15.75" customHeight="1">
      <c r="A616" s="19">
        <v>615</v>
      </c>
      <c r="B616" s="9">
        <f t="shared" si="0"/>
        <v>0</v>
      </c>
    </row>
    <row r="617" spans="1:2" ht="15.75" customHeight="1">
      <c r="A617" s="19">
        <v>616</v>
      </c>
      <c r="B617" s="9">
        <f t="shared" si="0"/>
        <v>0</v>
      </c>
    </row>
    <row r="618" spans="1:2" ht="15.75" customHeight="1">
      <c r="A618" s="19">
        <v>617</v>
      </c>
      <c r="B618" s="9">
        <f t="shared" si="0"/>
        <v>0</v>
      </c>
    </row>
    <row r="619" spans="1:2" ht="15.75" customHeight="1">
      <c r="A619" s="19">
        <v>618</v>
      </c>
      <c r="B619" s="9">
        <f t="shared" si="0"/>
        <v>0</v>
      </c>
    </row>
    <row r="620" spans="1:2" ht="15.75" customHeight="1">
      <c r="A620" s="19">
        <v>619</v>
      </c>
      <c r="B620" s="9">
        <f t="shared" si="0"/>
        <v>0</v>
      </c>
    </row>
    <row r="621" spans="1:2" ht="15.75" customHeight="1">
      <c r="A621" s="19">
        <v>620</v>
      </c>
      <c r="B621" s="9">
        <f t="shared" si="0"/>
        <v>0</v>
      </c>
    </row>
    <row r="622" spans="1:2" ht="15.75" customHeight="1">
      <c r="A622" s="19">
        <v>621</v>
      </c>
      <c r="B622" s="9">
        <f t="shared" si="0"/>
        <v>0</v>
      </c>
    </row>
    <row r="623" spans="1:2" ht="15.75" customHeight="1">
      <c r="A623" s="19">
        <v>622</v>
      </c>
      <c r="B623" s="9">
        <f t="shared" si="0"/>
        <v>0</v>
      </c>
    </row>
    <row r="624" spans="1:2" ht="15.75" customHeight="1">
      <c r="A624" s="19">
        <v>623</v>
      </c>
      <c r="B624" s="9">
        <f t="shared" si="0"/>
        <v>0</v>
      </c>
    </row>
    <row r="625" spans="1:2" ht="15.75" customHeight="1">
      <c r="A625" s="19">
        <v>624</v>
      </c>
      <c r="B625" s="9">
        <f t="shared" si="0"/>
        <v>0</v>
      </c>
    </row>
    <row r="626" spans="1:2" ht="15.75" customHeight="1">
      <c r="A626" s="19">
        <v>625</v>
      </c>
      <c r="B626" s="9">
        <f t="shared" si="0"/>
        <v>0</v>
      </c>
    </row>
    <row r="627" spans="1:2" ht="15.75" customHeight="1">
      <c r="A627" s="19">
        <v>626</v>
      </c>
      <c r="B627" s="9">
        <f t="shared" si="0"/>
        <v>0</v>
      </c>
    </row>
    <row r="628" spans="1:2" ht="15.75" customHeight="1">
      <c r="A628" s="19">
        <v>627</v>
      </c>
      <c r="B628" s="9">
        <f t="shared" si="0"/>
        <v>0</v>
      </c>
    </row>
    <row r="629" spans="1:2" ht="15.75" customHeight="1">
      <c r="A629" s="19">
        <v>628</v>
      </c>
      <c r="B629" s="9">
        <f t="shared" si="0"/>
        <v>0</v>
      </c>
    </row>
    <row r="630" spans="1:2" ht="15.75" customHeight="1">
      <c r="A630" s="19">
        <v>629</v>
      </c>
      <c r="B630" s="9">
        <f t="shared" si="0"/>
        <v>0</v>
      </c>
    </row>
    <row r="631" spans="1:2" ht="15.75" customHeight="1">
      <c r="A631" s="19">
        <v>630</v>
      </c>
      <c r="B631" s="9">
        <f t="shared" si="0"/>
        <v>0</v>
      </c>
    </row>
    <row r="632" spans="1:2" ht="15.75" customHeight="1">
      <c r="A632" s="19">
        <v>631</v>
      </c>
      <c r="B632" s="9">
        <f t="shared" si="0"/>
        <v>0</v>
      </c>
    </row>
    <row r="633" spans="1:2" ht="15.75" customHeight="1">
      <c r="A633" s="19">
        <v>632</v>
      </c>
      <c r="B633" s="9">
        <f t="shared" si="0"/>
        <v>0</v>
      </c>
    </row>
    <row r="634" spans="1:2" ht="15.75" customHeight="1">
      <c r="A634" s="19">
        <v>633</v>
      </c>
      <c r="B634" s="9">
        <f t="shared" si="0"/>
        <v>0</v>
      </c>
    </row>
    <row r="635" spans="1:2" ht="15.75" customHeight="1">
      <c r="A635" s="19">
        <v>634</v>
      </c>
      <c r="B635" s="9">
        <f t="shared" si="0"/>
        <v>0</v>
      </c>
    </row>
    <row r="636" spans="1:2" ht="15.75" customHeight="1">
      <c r="A636" s="19">
        <v>635</v>
      </c>
      <c r="B636" s="9">
        <f t="shared" si="0"/>
        <v>0</v>
      </c>
    </row>
    <row r="637" spans="1:2" ht="15.75" customHeight="1">
      <c r="A637" s="19">
        <v>636</v>
      </c>
      <c r="B637" s="9">
        <f t="shared" si="0"/>
        <v>0</v>
      </c>
    </row>
    <row r="638" spans="1:2" ht="15.75" customHeight="1">
      <c r="A638" s="19">
        <v>637</v>
      </c>
      <c r="B638" s="9">
        <f t="shared" si="0"/>
        <v>0</v>
      </c>
    </row>
    <row r="639" spans="1:2" ht="15.75" customHeight="1">
      <c r="A639" s="19">
        <v>638</v>
      </c>
      <c r="B639" s="9">
        <f t="shared" si="0"/>
        <v>0</v>
      </c>
    </row>
    <row r="640" spans="1:2" ht="15.75" customHeight="1">
      <c r="A640" s="19">
        <v>639</v>
      </c>
      <c r="B640" s="9">
        <f t="shared" si="0"/>
        <v>0</v>
      </c>
    </row>
    <row r="641" spans="1:2" ht="15.75" customHeight="1">
      <c r="A641" s="19">
        <v>640</v>
      </c>
      <c r="B641" s="9">
        <f t="shared" si="0"/>
        <v>0</v>
      </c>
    </row>
    <row r="642" spans="1:2" ht="15.75" customHeight="1">
      <c r="A642" s="19">
        <v>641</v>
      </c>
      <c r="B642" s="9">
        <f t="shared" si="0"/>
        <v>0</v>
      </c>
    </row>
    <row r="643" spans="1:2" ht="15.75" customHeight="1">
      <c r="A643" s="19">
        <v>642</v>
      </c>
      <c r="B643" s="9">
        <f t="shared" si="0"/>
        <v>0</v>
      </c>
    </row>
    <row r="644" spans="1:2" ht="15.75" customHeight="1">
      <c r="A644" s="19">
        <v>643</v>
      </c>
      <c r="B644" s="9">
        <f t="shared" si="0"/>
        <v>0</v>
      </c>
    </row>
    <row r="645" spans="1:2" ht="15.75" customHeight="1">
      <c r="A645" s="19">
        <v>644</v>
      </c>
      <c r="B645" s="9">
        <f t="shared" si="0"/>
        <v>0</v>
      </c>
    </row>
    <row r="646" spans="1:2" ht="15.75" customHeight="1">
      <c r="A646" s="19">
        <v>645</v>
      </c>
      <c r="B646" s="9">
        <f t="shared" si="0"/>
        <v>0</v>
      </c>
    </row>
    <row r="647" spans="1:2" ht="15.75" customHeight="1">
      <c r="A647" s="19">
        <v>646</v>
      </c>
      <c r="B647" s="9">
        <f t="shared" si="0"/>
        <v>0</v>
      </c>
    </row>
    <row r="648" spans="1:2" ht="15.75" customHeight="1">
      <c r="A648" s="19">
        <v>647</v>
      </c>
      <c r="B648" s="9">
        <f t="shared" si="0"/>
        <v>0</v>
      </c>
    </row>
    <row r="649" spans="1:2" ht="15.75" customHeight="1">
      <c r="A649" s="19">
        <v>648</v>
      </c>
      <c r="B649" s="9">
        <f t="shared" si="0"/>
        <v>0</v>
      </c>
    </row>
    <row r="650" spans="1:2" ht="15.75" customHeight="1">
      <c r="A650" s="19">
        <v>649</v>
      </c>
      <c r="B650" s="9">
        <f t="shared" si="0"/>
        <v>0</v>
      </c>
    </row>
    <row r="651" spans="1:2" ht="15.75" customHeight="1">
      <c r="A651" s="19">
        <v>650</v>
      </c>
      <c r="B651" s="9">
        <f t="shared" si="0"/>
        <v>0</v>
      </c>
    </row>
    <row r="652" spans="1:2" ht="15.75" customHeight="1">
      <c r="A652" s="19">
        <v>651</v>
      </c>
      <c r="B652" s="9">
        <f t="shared" si="0"/>
        <v>0</v>
      </c>
    </row>
    <row r="653" spans="1:2" ht="15.75" customHeight="1">
      <c r="A653" s="19">
        <v>652</v>
      </c>
      <c r="B653" s="9">
        <f t="shared" si="0"/>
        <v>0</v>
      </c>
    </row>
    <row r="654" spans="1:2" ht="15.75" customHeight="1">
      <c r="A654" s="19">
        <v>653</v>
      </c>
      <c r="B654" s="9">
        <f t="shared" si="0"/>
        <v>0</v>
      </c>
    </row>
    <row r="655" spans="1:2" ht="15.75" customHeight="1">
      <c r="A655" s="19">
        <v>654</v>
      </c>
      <c r="B655" s="9">
        <f t="shared" si="0"/>
        <v>0</v>
      </c>
    </row>
    <row r="656" spans="1:2" ht="15.75" customHeight="1">
      <c r="A656" s="19">
        <v>655</v>
      </c>
      <c r="B656" s="9">
        <f t="shared" si="0"/>
        <v>0</v>
      </c>
    </row>
    <row r="657" spans="1:2" ht="15.75" customHeight="1">
      <c r="A657" s="19">
        <v>656</v>
      </c>
      <c r="B657" s="9">
        <f t="shared" si="0"/>
        <v>0</v>
      </c>
    </row>
    <row r="658" spans="1:2" ht="15.75" customHeight="1">
      <c r="A658" s="19">
        <v>657</v>
      </c>
      <c r="B658" s="9">
        <f t="shared" si="0"/>
        <v>0</v>
      </c>
    </row>
    <row r="659" spans="1:2" ht="15.75" customHeight="1">
      <c r="A659" s="19">
        <v>658</v>
      </c>
      <c r="B659" s="9">
        <f t="shared" si="0"/>
        <v>0</v>
      </c>
    </row>
    <row r="660" spans="1:2" ht="15.75" customHeight="1">
      <c r="A660" s="19">
        <v>659</v>
      </c>
      <c r="B660" s="9">
        <f t="shared" si="0"/>
        <v>0</v>
      </c>
    </row>
    <row r="661" spans="1:2" ht="15.75" customHeight="1">
      <c r="A661" s="19">
        <v>660</v>
      </c>
      <c r="B661" s="9">
        <f t="shared" si="0"/>
        <v>0</v>
      </c>
    </row>
    <row r="662" spans="1:2" ht="15.75" customHeight="1">
      <c r="A662" s="19">
        <v>661</v>
      </c>
      <c r="B662" s="9">
        <f t="shared" si="0"/>
        <v>0</v>
      </c>
    </row>
    <row r="663" spans="1:2" ht="15.75" customHeight="1">
      <c r="A663" s="19">
        <v>662</v>
      </c>
      <c r="B663" s="9">
        <f t="shared" si="0"/>
        <v>0</v>
      </c>
    </row>
    <row r="664" spans="1:2" ht="15.75" customHeight="1">
      <c r="A664" s="19">
        <v>663</v>
      </c>
      <c r="B664" s="9">
        <f t="shared" si="0"/>
        <v>0</v>
      </c>
    </row>
    <row r="665" spans="1:2" ht="15.75" customHeight="1">
      <c r="A665" s="19">
        <v>664</v>
      </c>
      <c r="B665" s="9">
        <f t="shared" si="0"/>
        <v>0</v>
      </c>
    </row>
    <row r="666" spans="1:2" ht="15.75" customHeight="1">
      <c r="A666" s="19">
        <v>665</v>
      </c>
      <c r="B666" s="9">
        <f t="shared" si="0"/>
        <v>0</v>
      </c>
    </row>
    <row r="667" spans="1:2" ht="15.75" customHeight="1">
      <c r="A667" s="19">
        <v>666</v>
      </c>
      <c r="B667" s="9">
        <f t="shared" si="0"/>
        <v>0</v>
      </c>
    </row>
    <row r="668" spans="1:2" ht="15.75" customHeight="1">
      <c r="A668" s="19">
        <v>667</v>
      </c>
      <c r="B668" s="9">
        <f t="shared" si="0"/>
        <v>0</v>
      </c>
    </row>
    <row r="669" spans="1:2" ht="15.75" customHeight="1">
      <c r="A669" s="19">
        <v>668</v>
      </c>
      <c r="B669" s="9">
        <f t="shared" si="0"/>
        <v>0</v>
      </c>
    </row>
    <row r="670" spans="1:2" ht="15.75" customHeight="1">
      <c r="A670" s="19">
        <v>669</v>
      </c>
      <c r="B670" s="9">
        <f t="shared" si="0"/>
        <v>0</v>
      </c>
    </row>
    <row r="671" spans="1:2" ht="15.75" customHeight="1">
      <c r="A671" s="19">
        <v>670</v>
      </c>
      <c r="B671" s="9">
        <f t="shared" si="0"/>
        <v>0</v>
      </c>
    </row>
    <row r="672" spans="1:2" ht="15.75" customHeight="1">
      <c r="A672" s="19">
        <v>671</v>
      </c>
      <c r="B672" s="9">
        <f t="shared" si="0"/>
        <v>0</v>
      </c>
    </row>
    <row r="673" spans="1:2" ht="15.75" customHeight="1">
      <c r="A673" s="19">
        <v>672</v>
      </c>
      <c r="B673" s="9">
        <f t="shared" si="0"/>
        <v>0</v>
      </c>
    </row>
    <row r="674" spans="1:2" ht="15.75" customHeight="1">
      <c r="A674" s="19">
        <v>673</v>
      </c>
      <c r="B674" s="9">
        <f t="shared" si="0"/>
        <v>0</v>
      </c>
    </row>
    <row r="675" spans="1:2" ht="15.75" customHeight="1">
      <c r="A675" s="19">
        <v>674</v>
      </c>
      <c r="B675" s="9">
        <f t="shared" si="0"/>
        <v>0</v>
      </c>
    </row>
    <row r="676" spans="1:2" ht="15.75" customHeight="1">
      <c r="A676" s="19">
        <v>675</v>
      </c>
      <c r="B676" s="9">
        <f t="shared" si="0"/>
        <v>0</v>
      </c>
    </row>
    <row r="677" spans="1:2" ht="15.75" customHeight="1">
      <c r="A677" s="19">
        <v>676</v>
      </c>
      <c r="B677" s="9">
        <f t="shared" si="0"/>
        <v>0</v>
      </c>
    </row>
    <row r="678" spans="1:2" ht="15.75" customHeight="1">
      <c r="A678" s="19">
        <v>677</v>
      </c>
      <c r="B678" s="9">
        <f t="shared" si="0"/>
        <v>0</v>
      </c>
    </row>
    <row r="679" spans="1:2" ht="15.75" customHeight="1">
      <c r="A679" s="19">
        <v>678</v>
      </c>
      <c r="B679" s="9">
        <f t="shared" si="0"/>
        <v>0</v>
      </c>
    </row>
    <row r="680" spans="1:2" ht="15.75" customHeight="1">
      <c r="A680" s="19">
        <v>679</v>
      </c>
      <c r="B680" s="9">
        <f t="shared" si="0"/>
        <v>0</v>
      </c>
    </row>
    <row r="681" spans="1:2" ht="15.75" customHeight="1">
      <c r="A681" s="19">
        <v>680</v>
      </c>
      <c r="B681" s="9">
        <f t="shared" si="0"/>
        <v>0</v>
      </c>
    </row>
    <row r="682" spans="1:2" ht="15.75" customHeight="1">
      <c r="A682" s="19">
        <v>681</v>
      </c>
      <c r="B682" s="9">
        <f t="shared" si="0"/>
        <v>0</v>
      </c>
    </row>
    <row r="683" spans="1:2" ht="15.75" customHeight="1">
      <c r="A683" s="19">
        <v>682</v>
      </c>
      <c r="B683" s="9">
        <f t="shared" si="0"/>
        <v>0</v>
      </c>
    </row>
    <row r="684" spans="1:2" ht="15.75" customHeight="1">
      <c r="A684" s="19">
        <v>683</v>
      </c>
      <c r="B684" s="9">
        <f t="shared" si="0"/>
        <v>0</v>
      </c>
    </row>
    <row r="685" spans="1:2" ht="15.75" customHeight="1">
      <c r="A685" s="19">
        <v>684</v>
      </c>
      <c r="B685" s="9">
        <f t="shared" si="0"/>
        <v>0</v>
      </c>
    </row>
    <row r="686" spans="1:2" ht="15.75" customHeight="1">
      <c r="A686" s="19">
        <v>685</v>
      </c>
      <c r="B686" s="9">
        <f t="shared" si="0"/>
        <v>0</v>
      </c>
    </row>
    <row r="687" spans="1:2" ht="15.75" customHeight="1">
      <c r="A687" s="19">
        <v>686</v>
      </c>
      <c r="B687" s="9">
        <f t="shared" si="0"/>
        <v>0</v>
      </c>
    </row>
    <row r="688" spans="1:2" ht="15.75" customHeight="1">
      <c r="A688" s="19">
        <v>687</v>
      </c>
      <c r="B688" s="9">
        <f t="shared" si="0"/>
        <v>0</v>
      </c>
    </row>
    <row r="689" spans="1:2" ht="15.75" customHeight="1">
      <c r="A689" s="19">
        <v>688</v>
      </c>
      <c r="B689" s="9">
        <f t="shared" si="0"/>
        <v>0</v>
      </c>
    </row>
    <row r="690" spans="1:2" ht="15.75" customHeight="1">
      <c r="A690" s="19">
        <v>689</v>
      </c>
      <c r="B690" s="9">
        <f t="shared" si="0"/>
        <v>0</v>
      </c>
    </row>
    <row r="691" spans="1:2" ht="15.75" customHeight="1">
      <c r="A691" s="19">
        <v>690</v>
      </c>
      <c r="B691" s="9">
        <f t="shared" si="0"/>
        <v>0</v>
      </c>
    </row>
    <row r="692" spans="1:2" ht="15.75" customHeight="1">
      <c r="A692" s="19">
        <v>691</v>
      </c>
      <c r="B692" s="9">
        <f t="shared" si="0"/>
        <v>0</v>
      </c>
    </row>
    <row r="693" spans="1:2" ht="15.75" customHeight="1">
      <c r="A693" s="19">
        <v>692</v>
      </c>
      <c r="B693" s="9">
        <f t="shared" si="0"/>
        <v>0</v>
      </c>
    </row>
    <row r="694" spans="1:2" ht="15.75" customHeight="1">
      <c r="A694" s="19">
        <v>693</v>
      </c>
      <c r="B694" s="9">
        <f t="shared" si="0"/>
        <v>0</v>
      </c>
    </row>
    <row r="695" spans="1:2" ht="15.75" customHeight="1">
      <c r="A695" s="19">
        <v>694</v>
      </c>
      <c r="B695" s="9">
        <f t="shared" si="0"/>
        <v>0</v>
      </c>
    </row>
    <row r="696" spans="1:2" ht="15.75" customHeight="1">
      <c r="A696" s="19">
        <v>695</v>
      </c>
      <c r="B696" s="9">
        <f t="shared" si="0"/>
        <v>0</v>
      </c>
    </row>
    <row r="697" spans="1:2" ht="15.75" customHeight="1">
      <c r="A697" s="19">
        <v>696</v>
      </c>
      <c r="B697" s="9">
        <f t="shared" si="0"/>
        <v>0</v>
      </c>
    </row>
    <row r="698" spans="1:2" ht="15.75" customHeight="1">
      <c r="A698" s="19">
        <v>697</v>
      </c>
      <c r="B698" s="9">
        <f t="shared" si="0"/>
        <v>0</v>
      </c>
    </row>
    <row r="699" spans="1:2" ht="15.75" customHeight="1">
      <c r="A699" s="19">
        <v>698</v>
      </c>
      <c r="B699" s="9">
        <f t="shared" si="0"/>
        <v>0</v>
      </c>
    </row>
    <row r="700" spans="1:2" ht="15.75" customHeight="1">
      <c r="A700" s="19">
        <v>699</v>
      </c>
      <c r="B700" s="9">
        <f t="shared" si="0"/>
        <v>0</v>
      </c>
    </row>
    <row r="701" spans="1:2" ht="15.75" customHeight="1">
      <c r="A701" s="19">
        <v>700</v>
      </c>
      <c r="B701" s="9">
        <f t="shared" si="0"/>
        <v>0</v>
      </c>
    </row>
    <row r="702" spans="1:2" ht="15.75" customHeight="1">
      <c r="A702" s="19">
        <v>701</v>
      </c>
      <c r="B702" s="9">
        <f t="shared" si="0"/>
        <v>0</v>
      </c>
    </row>
    <row r="703" spans="1:2" ht="15.75" customHeight="1">
      <c r="A703" s="19">
        <v>702</v>
      </c>
      <c r="B703" s="9">
        <f t="shared" si="0"/>
        <v>0</v>
      </c>
    </row>
    <row r="704" spans="1:2" ht="15.75" customHeight="1">
      <c r="A704" s="19">
        <v>703</v>
      </c>
      <c r="B704" s="9">
        <f t="shared" si="0"/>
        <v>0</v>
      </c>
    </row>
    <row r="705" spans="1:2" ht="15.75" customHeight="1">
      <c r="A705" s="19">
        <v>704</v>
      </c>
      <c r="B705" s="9">
        <f t="shared" si="0"/>
        <v>0</v>
      </c>
    </row>
    <row r="706" spans="1:2" ht="15.75" customHeight="1">
      <c r="A706" s="19">
        <v>705</v>
      </c>
      <c r="B706" s="9">
        <f t="shared" si="0"/>
        <v>0</v>
      </c>
    </row>
    <row r="707" spans="1:2" ht="15.75" customHeight="1">
      <c r="A707" s="19">
        <v>706</v>
      </c>
      <c r="B707" s="9">
        <f t="shared" si="0"/>
        <v>0</v>
      </c>
    </row>
    <row r="708" spans="1:2" ht="15.75" customHeight="1">
      <c r="A708" s="19">
        <v>707</v>
      </c>
      <c r="B708" s="9">
        <f t="shared" si="0"/>
        <v>0</v>
      </c>
    </row>
    <row r="709" spans="1:2" ht="15.75" customHeight="1">
      <c r="A709" s="19">
        <v>708</v>
      </c>
      <c r="B709" s="9">
        <f t="shared" si="0"/>
        <v>0</v>
      </c>
    </row>
    <row r="710" spans="1:2" ht="15.75" customHeight="1">
      <c r="A710" s="19">
        <v>709</v>
      </c>
      <c r="B710" s="9">
        <f t="shared" si="0"/>
        <v>0</v>
      </c>
    </row>
    <row r="711" spans="1:2" ht="15.75" customHeight="1">
      <c r="A711" s="19">
        <v>710</v>
      </c>
      <c r="B711" s="9">
        <f t="shared" si="0"/>
        <v>0</v>
      </c>
    </row>
    <row r="712" spans="1:2" ht="15.75" customHeight="1">
      <c r="A712" s="19">
        <v>711</v>
      </c>
      <c r="B712" s="9">
        <f t="shared" si="0"/>
        <v>0</v>
      </c>
    </row>
    <row r="713" spans="1:2" ht="15.75" customHeight="1">
      <c r="A713" s="19">
        <v>712</v>
      </c>
      <c r="B713" s="9">
        <f t="shared" si="0"/>
        <v>0</v>
      </c>
    </row>
    <row r="714" spans="1:2" ht="15.75" customHeight="1">
      <c r="A714" s="19">
        <v>713</v>
      </c>
      <c r="B714" s="9">
        <f t="shared" si="0"/>
        <v>0</v>
      </c>
    </row>
    <row r="715" spans="1:2" ht="15.75" customHeight="1">
      <c r="A715" s="19">
        <v>714</v>
      </c>
      <c r="B715" s="9">
        <f t="shared" si="0"/>
        <v>0</v>
      </c>
    </row>
    <row r="716" spans="1:2" ht="15.75" customHeight="1">
      <c r="A716" s="19">
        <v>715</v>
      </c>
      <c r="B716" s="9">
        <f t="shared" si="0"/>
        <v>0</v>
      </c>
    </row>
    <row r="717" spans="1:2" ht="15.75" customHeight="1">
      <c r="A717" s="19">
        <v>716</v>
      </c>
      <c r="B717" s="9">
        <f t="shared" si="0"/>
        <v>0</v>
      </c>
    </row>
    <row r="718" spans="1:2" ht="15.75" customHeight="1">
      <c r="A718" s="19">
        <v>717</v>
      </c>
      <c r="B718" s="9">
        <f t="shared" si="0"/>
        <v>0</v>
      </c>
    </row>
    <row r="719" spans="1:2" ht="15.75" customHeight="1">
      <c r="A719" s="19">
        <v>718</v>
      </c>
      <c r="B719" s="9">
        <f t="shared" si="0"/>
        <v>0</v>
      </c>
    </row>
    <row r="720" spans="1:2" ht="15.75" customHeight="1">
      <c r="A720" s="19">
        <v>719</v>
      </c>
      <c r="B720" s="9">
        <f t="shared" si="0"/>
        <v>0</v>
      </c>
    </row>
    <row r="721" spans="1:2" ht="15.75" customHeight="1">
      <c r="A721" s="19">
        <v>720</v>
      </c>
      <c r="B721" s="9">
        <f t="shared" si="0"/>
        <v>0</v>
      </c>
    </row>
    <row r="722" spans="1:2" ht="15.75" customHeight="1">
      <c r="A722" s="19">
        <v>721</v>
      </c>
      <c r="B722" s="9">
        <f t="shared" si="0"/>
        <v>0</v>
      </c>
    </row>
    <row r="723" spans="1:2" ht="15.75" customHeight="1">
      <c r="A723" s="19">
        <v>722</v>
      </c>
      <c r="B723" s="9">
        <f t="shared" si="0"/>
        <v>0</v>
      </c>
    </row>
    <row r="724" spans="1:2" ht="15.75" customHeight="1">
      <c r="A724" s="19">
        <v>723</v>
      </c>
      <c r="B724" s="9">
        <f t="shared" si="0"/>
        <v>0</v>
      </c>
    </row>
    <row r="725" spans="1:2" ht="15.75" customHeight="1">
      <c r="A725" s="19">
        <v>724</v>
      </c>
      <c r="B725" s="9">
        <f t="shared" si="0"/>
        <v>0</v>
      </c>
    </row>
    <row r="726" spans="1:2" ht="15.75" customHeight="1">
      <c r="A726" s="19">
        <v>725</v>
      </c>
      <c r="B726" s="9">
        <f t="shared" si="0"/>
        <v>0</v>
      </c>
    </row>
    <row r="727" spans="1:2" ht="15.75" customHeight="1">
      <c r="A727" s="19">
        <v>726</v>
      </c>
      <c r="B727" s="9">
        <f t="shared" si="0"/>
        <v>0</v>
      </c>
    </row>
    <row r="728" spans="1:2" ht="15.75" customHeight="1">
      <c r="A728" s="19">
        <v>727</v>
      </c>
      <c r="B728" s="9">
        <f t="shared" si="0"/>
        <v>0</v>
      </c>
    </row>
    <row r="729" spans="1:2" ht="15.75" customHeight="1">
      <c r="A729" s="19">
        <v>728</v>
      </c>
      <c r="B729" s="9">
        <f t="shared" si="0"/>
        <v>0</v>
      </c>
    </row>
    <row r="730" spans="1:2" ht="15.75" customHeight="1">
      <c r="A730" s="19">
        <v>729</v>
      </c>
      <c r="B730" s="9">
        <f t="shared" si="0"/>
        <v>0</v>
      </c>
    </row>
    <row r="731" spans="1:2" ht="15.75" customHeight="1">
      <c r="A731" s="19">
        <v>730</v>
      </c>
      <c r="B731" s="9">
        <f t="shared" si="0"/>
        <v>0</v>
      </c>
    </row>
    <row r="732" spans="1:2" ht="15.75" customHeight="1">
      <c r="A732" s="19">
        <v>731</v>
      </c>
      <c r="B732" s="9">
        <f t="shared" si="0"/>
        <v>0</v>
      </c>
    </row>
    <row r="733" spans="1:2" ht="15.75" customHeight="1">
      <c r="A733" s="19">
        <v>732</v>
      </c>
      <c r="B733" s="9">
        <f t="shared" si="0"/>
        <v>0</v>
      </c>
    </row>
    <row r="734" spans="1:2" ht="15.75" customHeight="1">
      <c r="A734" s="19">
        <v>733</v>
      </c>
      <c r="B734" s="9">
        <f t="shared" si="0"/>
        <v>0</v>
      </c>
    </row>
    <row r="735" spans="1:2" ht="15.75" customHeight="1">
      <c r="A735" s="19">
        <v>734</v>
      </c>
      <c r="B735" s="9">
        <f t="shared" si="0"/>
        <v>0</v>
      </c>
    </row>
    <row r="736" spans="1:2" ht="15.75" customHeight="1">
      <c r="A736" s="19">
        <v>735</v>
      </c>
      <c r="B736" s="9">
        <f t="shared" si="0"/>
        <v>0</v>
      </c>
    </row>
    <row r="737" spans="1:2" ht="15.75" customHeight="1">
      <c r="A737" s="19">
        <v>736</v>
      </c>
      <c r="B737" s="9">
        <f t="shared" si="0"/>
        <v>0</v>
      </c>
    </row>
    <row r="738" spans="1:2" ht="15.75" customHeight="1">
      <c r="A738" s="19">
        <v>737</v>
      </c>
      <c r="B738" s="9">
        <f t="shared" si="0"/>
        <v>0</v>
      </c>
    </row>
    <row r="739" spans="1:2" ht="15.75" customHeight="1">
      <c r="A739" s="19">
        <v>738</v>
      </c>
      <c r="B739" s="9">
        <f t="shared" si="0"/>
        <v>0</v>
      </c>
    </row>
    <row r="740" spans="1:2" ht="15.75" customHeight="1">
      <c r="A740" s="19">
        <v>739</v>
      </c>
      <c r="B740" s="9">
        <f t="shared" si="0"/>
        <v>0</v>
      </c>
    </row>
    <row r="741" spans="1:2" ht="15.75" customHeight="1">
      <c r="A741" s="19">
        <v>740</v>
      </c>
      <c r="B741" s="9">
        <f t="shared" si="0"/>
        <v>0</v>
      </c>
    </row>
    <row r="742" spans="1:2" ht="15.75" customHeight="1">
      <c r="A742" s="19">
        <v>741</v>
      </c>
      <c r="B742" s="9">
        <f t="shared" si="0"/>
        <v>0</v>
      </c>
    </row>
    <row r="743" spans="1:2" ht="15.75" customHeight="1">
      <c r="A743" s="19">
        <v>742</v>
      </c>
      <c r="B743" s="9">
        <f t="shared" si="0"/>
        <v>0</v>
      </c>
    </row>
    <row r="744" spans="1:2" ht="15.75" customHeight="1">
      <c r="A744" s="19">
        <v>743</v>
      </c>
      <c r="B744" s="9">
        <f t="shared" si="0"/>
        <v>0</v>
      </c>
    </row>
    <row r="745" spans="1:2" ht="15.75" customHeight="1">
      <c r="A745" s="19">
        <v>744</v>
      </c>
      <c r="B745" s="9">
        <f t="shared" si="0"/>
        <v>0</v>
      </c>
    </row>
    <row r="746" spans="1:2" ht="15.75" customHeight="1">
      <c r="A746" s="19">
        <v>745</v>
      </c>
      <c r="B746" s="9">
        <f t="shared" si="0"/>
        <v>0</v>
      </c>
    </row>
    <row r="747" spans="1:2" ht="15.75" customHeight="1">
      <c r="A747" s="19">
        <v>746</v>
      </c>
      <c r="B747" s="9">
        <f t="shared" si="0"/>
        <v>0</v>
      </c>
    </row>
    <row r="748" spans="1:2" ht="15.75" customHeight="1">
      <c r="A748" s="19">
        <v>747</v>
      </c>
      <c r="B748" s="9">
        <f t="shared" si="0"/>
        <v>0</v>
      </c>
    </row>
    <row r="749" spans="1:2" ht="15.75" customHeight="1">
      <c r="A749" s="19">
        <v>748</v>
      </c>
      <c r="B749" s="9">
        <f t="shared" si="0"/>
        <v>0</v>
      </c>
    </row>
    <row r="750" spans="1:2" ht="15.75" customHeight="1">
      <c r="A750" s="19">
        <v>749</v>
      </c>
      <c r="B750" s="9">
        <f t="shared" si="0"/>
        <v>0</v>
      </c>
    </row>
    <row r="751" spans="1:2" ht="15.75" customHeight="1">
      <c r="A751" s="19">
        <v>750</v>
      </c>
      <c r="B751" s="9">
        <f t="shared" si="0"/>
        <v>0</v>
      </c>
    </row>
    <row r="752" spans="1:2" ht="15.75" customHeight="1">
      <c r="A752" s="19">
        <v>751</v>
      </c>
      <c r="B752" s="9">
        <f t="shared" si="0"/>
        <v>0</v>
      </c>
    </row>
    <row r="753" spans="1:2" ht="15.75" customHeight="1">
      <c r="A753" s="19">
        <v>752</v>
      </c>
      <c r="B753" s="9">
        <f t="shared" si="0"/>
        <v>0</v>
      </c>
    </row>
    <row r="754" spans="1:2" ht="15.75" customHeight="1">
      <c r="A754" s="19">
        <v>753</v>
      </c>
      <c r="B754" s="9">
        <f t="shared" si="0"/>
        <v>0</v>
      </c>
    </row>
    <row r="755" spans="1:2" ht="15.75" customHeight="1">
      <c r="A755" s="19">
        <v>754</v>
      </c>
      <c r="B755" s="9">
        <f t="shared" si="0"/>
        <v>0</v>
      </c>
    </row>
    <row r="756" spans="1:2" ht="15.75" customHeight="1">
      <c r="A756" s="19">
        <v>755</v>
      </c>
      <c r="B756" s="9">
        <f t="shared" si="0"/>
        <v>0</v>
      </c>
    </row>
    <row r="757" spans="1:2" ht="15.75" customHeight="1">
      <c r="A757" s="19">
        <v>756</v>
      </c>
      <c r="B757" s="9">
        <f t="shared" si="0"/>
        <v>0</v>
      </c>
    </row>
    <row r="758" spans="1:2" ht="15.75" customHeight="1">
      <c r="A758" s="19">
        <v>757</v>
      </c>
      <c r="B758" s="9">
        <f t="shared" si="0"/>
        <v>0</v>
      </c>
    </row>
    <row r="759" spans="1:2" ht="15.75" customHeight="1">
      <c r="A759" s="19">
        <v>758</v>
      </c>
      <c r="B759" s="9">
        <f t="shared" si="0"/>
        <v>0</v>
      </c>
    </row>
    <row r="760" spans="1:2" ht="15.75" customHeight="1">
      <c r="A760" s="19">
        <v>759</v>
      </c>
      <c r="B760" s="9">
        <f t="shared" si="0"/>
        <v>0</v>
      </c>
    </row>
    <row r="761" spans="1:2" ht="15.75" customHeight="1">
      <c r="A761" s="19">
        <v>760</v>
      </c>
      <c r="B761" s="9">
        <f t="shared" si="0"/>
        <v>0</v>
      </c>
    </row>
    <row r="762" spans="1:2" ht="15.75" customHeight="1">
      <c r="A762" s="19">
        <v>761</v>
      </c>
      <c r="B762" s="9">
        <f t="shared" si="0"/>
        <v>0</v>
      </c>
    </row>
    <row r="763" spans="1:2" ht="15.75" customHeight="1">
      <c r="A763" s="19">
        <v>762</v>
      </c>
      <c r="B763" s="9">
        <f t="shared" si="0"/>
        <v>0</v>
      </c>
    </row>
    <row r="764" spans="1:2" ht="15.75" customHeight="1">
      <c r="A764" s="19">
        <v>763</v>
      </c>
      <c r="B764" s="9">
        <f t="shared" si="0"/>
        <v>0</v>
      </c>
    </row>
    <row r="765" spans="1:2" ht="15.75" customHeight="1">
      <c r="A765" s="19">
        <v>764</v>
      </c>
      <c r="B765" s="9">
        <f t="shared" si="0"/>
        <v>0</v>
      </c>
    </row>
    <row r="766" spans="1:2" ht="15.75" customHeight="1">
      <c r="A766" s="19">
        <v>765</v>
      </c>
      <c r="B766" s="9">
        <f t="shared" si="0"/>
        <v>0</v>
      </c>
    </row>
    <row r="767" spans="1:2" ht="15.75" customHeight="1">
      <c r="A767" s="19">
        <v>766</v>
      </c>
      <c r="B767" s="9">
        <f t="shared" si="0"/>
        <v>0</v>
      </c>
    </row>
    <row r="768" spans="1:2" ht="15.75" customHeight="1">
      <c r="A768" s="19">
        <v>767</v>
      </c>
      <c r="B768" s="9">
        <f t="shared" si="0"/>
        <v>0</v>
      </c>
    </row>
    <row r="769" spans="1:2" ht="15.75" customHeight="1">
      <c r="A769" s="19">
        <v>768</v>
      </c>
      <c r="B769" s="9">
        <f t="shared" si="0"/>
        <v>0</v>
      </c>
    </row>
    <row r="770" spans="1:2" ht="15.75" customHeight="1">
      <c r="A770" s="19">
        <v>769</v>
      </c>
      <c r="B770" s="9">
        <f t="shared" si="0"/>
        <v>0</v>
      </c>
    </row>
    <row r="771" spans="1:2" ht="15.75" customHeight="1">
      <c r="A771" s="19">
        <v>770</v>
      </c>
      <c r="B771" s="9">
        <f t="shared" si="0"/>
        <v>0</v>
      </c>
    </row>
    <row r="772" spans="1:2" ht="15.75" customHeight="1">
      <c r="A772" s="19">
        <v>771</v>
      </c>
      <c r="B772" s="9">
        <f t="shared" si="0"/>
        <v>0</v>
      </c>
    </row>
    <row r="773" spans="1:2" ht="15.75" customHeight="1">
      <c r="A773" s="19">
        <v>772</v>
      </c>
      <c r="B773" s="9">
        <f t="shared" si="0"/>
        <v>0</v>
      </c>
    </row>
    <row r="774" spans="1:2" ht="15.75" customHeight="1">
      <c r="A774" s="19">
        <v>773</v>
      </c>
      <c r="B774" s="9">
        <f t="shared" si="0"/>
        <v>0</v>
      </c>
    </row>
    <row r="775" spans="1:2" ht="15.75" customHeight="1">
      <c r="A775" s="19">
        <v>774</v>
      </c>
      <c r="B775" s="9">
        <f t="shared" si="0"/>
        <v>0</v>
      </c>
    </row>
    <row r="776" spans="1:2" ht="15.75" customHeight="1">
      <c r="A776" s="19">
        <v>775</v>
      </c>
      <c r="B776" s="9">
        <f t="shared" si="0"/>
        <v>0</v>
      </c>
    </row>
    <row r="777" spans="1:2" ht="15.75" customHeight="1">
      <c r="A777" s="19">
        <v>776</v>
      </c>
      <c r="B777" s="9">
        <f t="shared" si="0"/>
        <v>0</v>
      </c>
    </row>
    <row r="778" spans="1:2" ht="15.75" customHeight="1">
      <c r="A778" s="19">
        <v>777</v>
      </c>
      <c r="B778" s="9">
        <f t="shared" si="0"/>
        <v>0</v>
      </c>
    </row>
    <row r="779" spans="1:2" ht="15.75" customHeight="1">
      <c r="A779" s="19">
        <v>778</v>
      </c>
      <c r="B779" s="9">
        <f t="shared" si="0"/>
        <v>0</v>
      </c>
    </row>
    <row r="780" spans="1:2" ht="15.75" customHeight="1">
      <c r="A780" s="19">
        <v>779</v>
      </c>
      <c r="B780" s="9">
        <f t="shared" si="0"/>
        <v>0</v>
      </c>
    </row>
    <row r="781" spans="1:2" ht="15.75" customHeight="1">
      <c r="A781" s="19">
        <v>780</v>
      </c>
      <c r="B781" s="9">
        <f t="shared" si="0"/>
        <v>0</v>
      </c>
    </row>
    <row r="782" spans="1:2" ht="15.75" customHeight="1">
      <c r="A782" s="19">
        <v>781</v>
      </c>
      <c r="B782" s="9">
        <f t="shared" si="0"/>
        <v>0</v>
      </c>
    </row>
    <row r="783" spans="1:2" ht="15.75" customHeight="1">
      <c r="A783" s="19">
        <v>782</v>
      </c>
      <c r="B783" s="9">
        <f t="shared" si="0"/>
        <v>0</v>
      </c>
    </row>
    <row r="784" spans="1:2" ht="15.75" customHeight="1">
      <c r="A784" s="19">
        <v>783</v>
      </c>
      <c r="B784" s="9">
        <f t="shared" si="0"/>
        <v>0</v>
      </c>
    </row>
    <row r="785" spans="1:2" ht="15.75" customHeight="1">
      <c r="A785" s="19">
        <v>784</v>
      </c>
      <c r="B785" s="9">
        <f t="shared" si="0"/>
        <v>0</v>
      </c>
    </row>
    <row r="786" spans="1:2" ht="15.75" customHeight="1">
      <c r="A786" s="19">
        <v>785</v>
      </c>
      <c r="B786" s="9">
        <f t="shared" si="0"/>
        <v>0</v>
      </c>
    </row>
    <row r="787" spans="1:2" ht="15.75" customHeight="1">
      <c r="A787" s="19">
        <v>786</v>
      </c>
      <c r="B787" s="9">
        <f t="shared" si="0"/>
        <v>0</v>
      </c>
    </row>
    <row r="788" spans="1:2" ht="15.75" customHeight="1">
      <c r="A788" s="19">
        <v>787</v>
      </c>
      <c r="B788" s="9">
        <f t="shared" si="0"/>
        <v>0</v>
      </c>
    </row>
    <row r="789" spans="1:2" ht="15.75" customHeight="1">
      <c r="A789" s="19">
        <v>788</v>
      </c>
      <c r="B789" s="9">
        <f t="shared" si="0"/>
        <v>0</v>
      </c>
    </row>
    <row r="790" spans="1:2" ht="15.75" customHeight="1">
      <c r="A790" s="19">
        <v>789</v>
      </c>
      <c r="B790" s="9">
        <f t="shared" si="0"/>
        <v>0</v>
      </c>
    </row>
    <row r="791" spans="1:2" ht="15.75" customHeight="1">
      <c r="A791" s="19">
        <v>790</v>
      </c>
      <c r="B791" s="9">
        <f t="shared" si="0"/>
        <v>0</v>
      </c>
    </row>
    <row r="792" spans="1:2" ht="15.75" customHeight="1">
      <c r="A792" s="19">
        <v>791</v>
      </c>
      <c r="B792" s="9">
        <f t="shared" si="0"/>
        <v>0</v>
      </c>
    </row>
    <row r="793" spans="1:2" ht="15.75" customHeight="1">
      <c r="A793" s="19">
        <v>792</v>
      </c>
      <c r="B793" s="9">
        <f t="shared" si="0"/>
        <v>0</v>
      </c>
    </row>
    <row r="794" spans="1:2" ht="15.75" customHeight="1">
      <c r="A794" s="19">
        <v>793</v>
      </c>
      <c r="B794" s="9">
        <f t="shared" si="0"/>
        <v>0</v>
      </c>
    </row>
    <row r="795" spans="1:2" ht="15.75" customHeight="1">
      <c r="A795" s="19">
        <v>794</v>
      </c>
      <c r="B795" s="9">
        <f t="shared" si="0"/>
        <v>0</v>
      </c>
    </row>
    <row r="796" spans="1:2" ht="15.75" customHeight="1">
      <c r="A796" s="19">
        <v>795</v>
      </c>
      <c r="B796" s="9">
        <f t="shared" si="0"/>
        <v>0</v>
      </c>
    </row>
    <row r="797" spans="1:2" ht="15.75" customHeight="1">
      <c r="A797" s="19">
        <v>796</v>
      </c>
      <c r="B797" s="9">
        <f t="shared" si="0"/>
        <v>0</v>
      </c>
    </row>
    <row r="798" spans="1:2" ht="15.75" customHeight="1">
      <c r="A798" s="19">
        <v>797</v>
      </c>
      <c r="B798" s="9">
        <f t="shared" si="0"/>
        <v>0</v>
      </c>
    </row>
    <row r="799" spans="1:2" ht="15.75" customHeight="1">
      <c r="A799" s="19">
        <v>798</v>
      </c>
      <c r="B799" s="9">
        <f t="shared" si="0"/>
        <v>0</v>
      </c>
    </row>
    <row r="800" spans="1:2" ht="15.75" customHeight="1">
      <c r="A800" s="19">
        <v>799</v>
      </c>
      <c r="B800" s="9">
        <f t="shared" si="0"/>
        <v>0</v>
      </c>
    </row>
    <row r="801" spans="1:2" ht="15.75" customHeight="1">
      <c r="A801" s="19">
        <v>800</v>
      </c>
      <c r="B801" s="9">
        <f t="shared" si="0"/>
        <v>0</v>
      </c>
    </row>
    <row r="802" spans="1:2" ht="15.75" customHeight="1">
      <c r="A802" s="19">
        <v>801</v>
      </c>
      <c r="B802" s="9">
        <f t="shared" si="0"/>
        <v>0</v>
      </c>
    </row>
    <row r="803" spans="1:2" ht="15.75" customHeight="1">
      <c r="A803" s="19">
        <v>802</v>
      </c>
      <c r="B803" s="9">
        <f t="shared" si="0"/>
        <v>0</v>
      </c>
    </row>
    <row r="804" spans="1:2" ht="15.75" customHeight="1">
      <c r="A804" s="19">
        <v>803</v>
      </c>
      <c r="B804" s="9">
        <f t="shared" si="0"/>
        <v>0</v>
      </c>
    </row>
    <row r="805" spans="1:2" ht="15.75" customHeight="1">
      <c r="A805" s="19">
        <v>804</v>
      </c>
      <c r="B805" s="9">
        <f t="shared" si="0"/>
        <v>0</v>
      </c>
    </row>
    <row r="806" spans="1:2" ht="15.75" customHeight="1">
      <c r="A806" s="19">
        <v>805</v>
      </c>
      <c r="B806" s="9">
        <f t="shared" si="0"/>
        <v>0</v>
      </c>
    </row>
    <row r="807" spans="1:2" ht="15.75" customHeight="1">
      <c r="A807" s="19">
        <v>806</v>
      </c>
      <c r="B807" s="9">
        <f t="shared" si="0"/>
        <v>0</v>
      </c>
    </row>
    <row r="808" spans="1:2" ht="15.75" customHeight="1">
      <c r="A808" s="19">
        <v>807</v>
      </c>
      <c r="B808" s="9">
        <f t="shared" si="0"/>
        <v>0</v>
      </c>
    </row>
    <row r="809" spans="1:2" ht="15.75" customHeight="1">
      <c r="A809" s="19">
        <v>808</v>
      </c>
      <c r="B809" s="9">
        <f t="shared" si="0"/>
        <v>0</v>
      </c>
    </row>
    <row r="810" spans="1:2" ht="15.75" customHeight="1">
      <c r="A810" s="19">
        <v>809</v>
      </c>
      <c r="B810" s="9">
        <f t="shared" si="0"/>
        <v>0</v>
      </c>
    </row>
    <row r="811" spans="1:2" ht="15.75" customHeight="1">
      <c r="A811" s="19">
        <v>810</v>
      </c>
      <c r="B811" s="9">
        <f t="shared" si="0"/>
        <v>0</v>
      </c>
    </row>
    <row r="812" spans="1:2" ht="15.75" customHeight="1">
      <c r="A812" s="19">
        <v>811</v>
      </c>
      <c r="B812" s="9">
        <f t="shared" si="0"/>
        <v>0</v>
      </c>
    </row>
    <row r="813" spans="1:2" ht="15.75" customHeight="1">
      <c r="A813" s="19">
        <v>812</v>
      </c>
      <c r="B813" s="9">
        <f t="shared" si="0"/>
        <v>0</v>
      </c>
    </row>
    <row r="814" spans="1:2" ht="15.75" customHeight="1">
      <c r="A814" s="19">
        <v>813</v>
      </c>
      <c r="B814" s="9">
        <f t="shared" si="0"/>
        <v>0</v>
      </c>
    </row>
    <row r="815" spans="1:2" ht="15.75" customHeight="1">
      <c r="A815" s="19">
        <v>814</v>
      </c>
      <c r="B815" s="9">
        <f t="shared" si="0"/>
        <v>0</v>
      </c>
    </row>
    <row r="816" spans="1:2" ht="15.75" customHeight="1">
      <c r="A816" s="19">
        <v>815</v>
      </c>
      <c r="B816" s="9">
        <f t="shared" si="0"/>
        <v>0</v>
      </c>
    </row>
    <row r="817" spans="1:2" ht="15.75" customHeight="1">
      <c r="A817" s="19">
        <v>816</v>
      </c>
      <c r="B817" s="9">
        <f t="shared" si="0"/>
        <v>0</v>
      </c>
    </row>
    <row r="818" spans="1:2" ht="15.75" customHeight="1">
      <c r="A818" s="19">
        <v>817</v>
      </c>
      <c r="B818" s="9">
        <f t="shared" si="0"/>
        <v>0</v>
      </c>
    </row>
    <row r="819" spans="1:2" ht="15.75" customHeight="1">
      <c r="A819" s="19">
        <v>818</v>
      </c>
      <c r="B819" s="9">
        <f t="shared" si="0"/>
        <v>0</v>
      </c>
    </row>
    <row r="820" spans="1:2" ht="15.75" customHeight="1">
      <c r="A820" s="19">
        <v>819</v>
      </c>
      <c r="B820" s="9">
        <f t="shared" si="0"/>
        <v>0</v>
      </c>
    </row>
    <row r="821" spans="1:2" ht="15.75" customHeight="1">
      <c r="A821" s="19">
        <v>820</v>
      </c>
      <c r="B821" s="9">
        <f t="shared" si="0"/>
        <v>0</v>
      </c>
    </row>
    <row r="822" spans="1:2" ht="15.75" customHeight="1">
      <c r="A822" s="19">
        <v>821</v>
      </c>
      <c r="B822" s="9">
        <f t="shared" si="0"/>
        <v>0</v>
      </c>
    </row>
    <row r="823" spans="1:2" ht="15.75" customHeight="1">
      <c r="A823" s="19">
        <v>822</v>
      </c>
      <c r="B823" s="9">
        <f t="shared" si="0"/>
        <v>0</v>
      </c>
    </row>
    <row r="824" spans="1:2" ht="15.75" customHeight="1">
      <c r="A824" s="19">
        <v>823</v>
      </c>
      <c r="B824" s="9">
        <f t="shared" si="0"/>
        <v>0</v>
      </c>
    </row>
    <row r="825" spans="1:2" ht="15.75" customHeight="1">
      <c r="A825" s="19">
        <v>824</v>
      </c>
      <c r="B825" s="9">
        <f t="shared" si="0"/>
        <v>0</v>
      </c>
    </row>
    <row r="826" spans="1:2" ht="15.75" customHeight="1">
      <c r="A826" s="19">
        <v>825</v>
      </c>
      <c r="B826" s="9">
        <f t="shared" si="0"/>
        <v>0</v>
      </c>
    </row>
    <row r="827" spans="1:2" ht="15.75" customHeight="1">
      <c r="A827" s="19">
        <v>826</v>
      </c>
      <c r="B827" s="9">
        <f t="shared" si="0"/>
        <v>0</v>
      </c>
    </row>
    <row r="828" spans="1:2" ht="15.75" customHeight="1">
      <c r="A828" s="19">
        <v>827</v>
      </c>
      <c r="B828" s="9">
        <f t="shared" si="0"/>
        <v>0</v>
      </c>
    </row>
    <row r="829" spans="1:2" ht="15.75" customHeight="1">
      <c r="A829" s="19">
        <v>828</v>
      </c>
      <c r="B829" s="9">
        <f t="shared" si="0"/>
        <v>0</v>
      </c>
    </row>
    <row r="830" spans="1:2" ht="15.75" customHeight="1">
      <c r="A830" s="19">
        <v>829</v>
      </c>
      <c r="B830" s="9">
        <f t="shared" si="0"/>
        <v>0</v>
      </c>
    </row>
    <row r="831" spans="1:2" ht="15.75" customHeight="1">
      <c r="A831" s="19">
        <v>830</v>
      </c>
      <c r="B831" s="9">
        <f t="shared" si="0"/>
        <v>0</v>
      </c>
    </row>
    <row r="832" spans="1:2" ht="15.75" customHeight="1">
      <c r="A832" s="19">
        <v>831</v>
      </c>
      <c r="B832" s="9">
        <f t="shared" si="0"/>
        <v>0</v>
      </c>
    </row>
    <row r="833" spans="1:2" ht="15.75" customHeight="1">
      <c r="A833" s="19">
        <v>832</v>
      </c>
      <c r="B833" s="9">
        <f t="shared" si="0"/>
        <v>0</v>
      </c>
    </row>
    <row r="834" spans="1:2" ht="15.75" customHeight="1">
      <c r="A834" s="19">
        <v>833</v>
      </c>
      <c r="B834" s="9">
        <f t="shared" si="0"/>
        <v>0</v>
      </c>
    </row>
    <row r="835" spans="1:2" ht="15.75" customHeight="1">
      <c r="A835" s="19">
        <v>834</v>
      </c>
      <c r="B835" s="9">
        <f t="shared" si="0"/>
        <v>0</v>
      </c>
    </row>
    <row r="836" spans="1:2" ht="15.75" customHeight="1">
      <c r="A836" s="19">
        <v>835</v>
      </c>
      <c r="B836" s="9">
        <f t="shared" si="0"/>
        <v>0</v>
      </c>
    </row>
    <row r="837" spans="1:2" ht="15.75" customHeight="1">
      <c r="A837" s="19">
        <v>836</v>
      </c>
      <c r="B837" s="9">
        <f t="shared" si="0"/>
        <v>0</v>
      </c>
    </row>
    <row r="838" spans="1:2" ht="15.75" customHeight="1">
      <c r="A838" s="19">
        <v>837</v>
      </c>
      <c r="B838" s="9">
        <f t="shared" si="0"/>
        <v>0</v>
      </c>
    </row>
    <row r="839" spans="1:2" ht="15.75" customHeight="1">
      <c r="A839" s="19">
        <v>838</v>
      </c>
      <c r="B839" s="9">
        <f t="shared" si="0"/>
        <v>0</v>
      </c>
    </row>
    <row r="840" spans="1:2" ht="15.75" customHeight="1">
      <c r="A840" s="19">
        <v>839</v>
      </c>
      <c r="B840" s="9">
        <f t="shared" si="0"/>
        <v>0</v>
      </c>
    </row>
    <row r="841" spans="1:2" ht="15.75" customHeight="1">
      <c r="A841" s="19">
        <v>840</v>
      </c>
      <c r="B841" s="9">
        <f t="shared" si="0"/>
        <v>0</v>
      </c>
    </row>
    <row r="842" spans="1:2" ht="15.75" customHeight="1">
      <c r="A842" s="19">
        <v>841</v>
      </c>
      <c r="B842" s="9">
        <f t="shared" si="0"/>
        <v>0</v>
      </c>
    </row>
    <row r="843" spans="1:2" ht="15.75" customHeight="1">
      <c r="A843" s="19">
        <v>842</v>
      </c>
      <c r="B843" s="9">
        <f t="shared" si="0"/>
        <v>0</v>
      </c>
    </row>
    <row r="844" spans="1:2" ht="15.75" customHeight="1">
      <c r="A844" s="19">
        <v>843</v>
      </c>
      <c r="B844" s="9">
        <f t="shared" si="0"/>
        <v>0</v>
      </c>
    </row>
    <row r="845" spans="1:2" ht="15.75" customHeight="1">
      <c r="A845" s="19">
        <v>844</v>
      </c>
      <c r="B845" s="9">
        <f t="shared" si="0"/>
        <v>0</v>
      </c>
    </row>
    <row r="846" spans="1:2" ht="15.75" customHeight="1">
      <c r="A846" s="19">
        <v>845</v>
      </c>
      <c r="B846" s="9">
        <f t="shared" si="0"/>
        <v>0</v>
      </c>
    </row>
    <row r="847" spans="1:2" ht="15.75" customHeight="1">
      <c r="A847" s="19">
        <v>846</v>
      </c>
      <c r="B847" s="9">
        <f t="shared" si="0"/>
        <v>0</v>
      </c>
    </row>
    <row r="848" spans="1:2" ht="15.75" customHeight="1">
      <c r="A848" s="19">
        <v>847</v>
      </c>
      <c r="B848" s="9">
        <f t="shared" si="0"/>
        <v>0</v>
      </c>
    </row>
    <row r="849" spans="1:2" ht="15.75" customHeight="1">
      <c r="A849" s="19">
        <v>848</v>
      </c>
      <c r="B849" s="9">
        <f t="shared" si="0"/>
        <v>0</v>
      </c>
    </row>
    <row r="850" spans="1:2" ht="15.75" customHeight="1">
      <c r="A850" s="19">
        <v>849</v>
      </c>
      <c r="B850" s="9">
        <f t="shared" si="0"/>
        <v>0</v>
      </c>
    </row>
    <row r="851" spans="1:2" ht="15.75" customHeight="1">
      <c r="A851" s="19">
        <v>850</v>
      </c>
      <c r="B851" s="9">
        <f t="shared" si="0"/>
        <v>0</v>
      </c>
    </row>
    <row r="852" spans="1:2" ht="15.75" customHeight="1">
      <c r="A852" s="19">
        <v>851</v>
      </c>
      <c r="B852" s="9">
        <f t="shared" si="0"/>
        <v>0</v>
      </c>
    </row>
    <row r="853" spans="1:2" ht="15.75" customHeight="1">
      <c r="A853" s="19">
        <v>852</v>
      </c>
      <c r="B853" s="9">
        <f t="shared" si="0"/>
        <v>0</v>
      </c>
    </row>
    <row r="854" spans="1:2" ht="15.75" customHeight="1">
      <c r="A854" s="19">
        <v>853</v>
      </c>
      <c r="B854" s="9">
        <f t="shared" si="0"/>
        <v>0</v>
      </c>
    </row>
    <row r="855" spans="1:2" ht="15.75" customHeight="1">
      <c r="A855" s="19">
        <v>854</v>
      </c>
      <c r="B855" s="9">
        <f t="shared" si="0"/>
        <v>0</v>
      </c>
    </row>
    <row r="856" spans="1:2" ht="15.75" customHeight="1">
      <c r="A856" s="19">
        <v>855</v>
      </c>
      <c r="B856" s="9">
        <f t="shared" si="0"/>
        <v>0</v>
      </c>
    </row>
    <row r="857" spans="1:2" ht="15.75" customHeight="1">
      <c r="A857" s="19">
        <v>856</v>
      </c>
      <c r="B857" s="9">
        <f t="shared" si="0"/>
        <v>0</v>
      </c>
    </row>
    <row r="858" spans="1:2" ht="15.75" customHeight="1">
      <c r="A858" s="19">
        <v>857</v>
      </c>
      <c r="B858" s="9">
        <f t="shared" si="0"/>
        <v>0</v>
      </c>
    </row>
    <row r="859" spans="1:2" ht="15.75" customHeight="1">
      <c r="A859" s="19">
        <v>858</v>
      </c>
      <c r="B859" s="9">
        <f t="shared" si="0"/>
        <v>0</v>
      </c>
    </row>
    <row r="860" spans="1:2" ht="15.75" customHeight="1">
      <c r="A860" s="19">
        <v>859</v>
      </c>
      <c r="B860" s="9">
        <f t="shared" si="0"/>
        <v>0</v>
      </c>
    </row>
    <row r="861" spans="1:2" ht="15.75" customHeight="1">
      <c r="A861" s="19">
        <v>860</v>
      </c>
      <c r="B861" s="9">
        <f t="shared" si="0"/>
        <v>0</v>
      </c>
    </row>
    <row r="862" spans="1:2" ht="15.75" customHeight="1">
      <c r="A862" s="19">
        <v>861</v>
      </c>
      <c r="B862" s="9">
        <f t="shared" si="0"/>
        <v>0</v>
      </c>
    </row>
    <row r="863" spans="1:2" ht="15.75" customHeight="1">
      <c r="A863" s="19">
        <v>862</v>
      </c>
      <c r="B863" s="9">
        <f t="shared" si="0"/>
        <v>0</v>
      </c>
    </row>
    <row r="864" spans="1:2" ht="15.75" customHeight="1">
      <c r="A864" s="19">
        <v>863</v>
      </c>
      <c r="B864" s="9">
        <f t="shared" si="0"/>
        <v>0</v>
      </c>
    </row>
    <row r="865" spans="1:2" ht="15.75" customHeight="1">
      <c r="A865" s="19">
        <v>864</v>
      </c>
      <c r="B865" s="9">
        <f t="shared" si="0"/>
        <v>0</v>
      </c>
    </row>
    <row r="866" spans="1:2" ht="15.75" customHeight="1">
      <c r="A866" s="19">
        <v>865</v>
      </c>
      <c r="B866" s="9">
        <f t="shared" si="0"/>
        <v>0</v>
      </c>
    </row>
    <row r="867" spans="1:2" ht="15.75" customHeight="1">
      <c r="A867" s="19">
        <v>866</v>
      </c>
      <c r="B867" s="9">
        <f t="shared" si="0"/>
        <v>0</v>
      </c>
    </row>
    <row r="868" spans="1:2" ht="15.75" customHeight="1">
      <c r="A868" s="19">
        <v>867</v>
      </c>
      <c r="B868" s="9">
        <f t="shared" si="0"/>
        <v>0</v>
      </c>
    </row>
    <row r="869" spans="1:2" ht="15.75" customHeight="1">
      <c r="A869" s="19">
        <v>868</v>
      </c>
      <c r="B869" s="9">
        <f t="shared" si="0"/>
        <v>0</v>
      </c>
    </row>
    <row r="870" spans="1:2" ht="15.75" customHeight="1">
      <c r="A870" s="19">
        <v>869</v>
      </c>
      <c r="B870" s="9">
        <f t="shared" si="0"/>
        <v>0</v>
      </c>
    </row>
    <row r="871" spans="1:2" ht="15.75" customHeight="1">
      <c r="A871" s="19">
        <v>870</v>
      </c>
      <c r="B871" s="9">
        <f t="shared" si="0"/>
        <v>0</v>
      </c>
    </row>
    <row r="872" spans="1:2" ht="15.75" customHeight="1">
      <c r="A872" s="19">
        <v>871</v>
      </c>
      <c r="B872" s="9">
        <f t="shared" si="0"/>
        <v>0</v>
      </c>
    </row>
    <row r="873" spans="1:2" ht="15.75" customHeight="1">
      <c r="A873" s="19">
        <v>872</v>
      </c>
      <c r="B873" s="9">
        <f t="shared" si="0"/>
        <v>0</v>
      </c>
    </row>
    <row r="874" spans="1:2" ht="15.75" customHeight="1">
      <c r="A874" s="19">
        <v>873</v>
      </c>
      <c r="B874" s="9">
        <f t="shared" si="0"/>
        <v>0</v>
      </c>
    </row>
    <row r="875" spans="1:2" ht="15.75" customHeight="1">
      <c r="A875" s="19">
        <v>874</v>
      </c>
      <c r="B875" s="9">
        <f t="shared" si="0"/>
        <v>0</v>
      </c>
    </row>
    <row r="876" spans="1:2" ht="15.75" customHeight="1">
      <c r="A876" s="19">
        <v>875</v>
      </c>
      <c r="B876" s="9">
        <f t="shared" si="0"/>
        <v>0</v>
      </c>
    </row>
    <row r="877" spans="1:2" ht="15.75" customHeight="1">
      <c r="A877" s="19">
        <v>876</v>
      </c>
      <c r="B877" s="9">
        <f t="shared" si="0"/>
        <v>0</v>
      </c>
    </row>
    <row r="878" spans="1:2" ht="15.75" customHeight="1">
      <c r="A878" s="19">
        <v>877</v>
      </c>
      <c r="B878" s="9">
        <f t="shared" si="0"/>
        <v>0</v>
      </c>
    </row>
    <row r="879" spans="1:2" ht="15.75" customHeight="1">
      <c r="A879" s="19">
        <v>878</v>
      </c>
      <c r="B879" s="9">
        <f t="shared" si="0"/>
        <v>0</v>
      </c>
    </row>
    <row r="880" spans="1:2" ht="15.75" customHeight="1">
      <c r="A880" s="19">
        <v>879</v>
      </c>
      <c r="B880" s="9">
        <f t="shared" si="0"/>
        <v>0</v>
      </c>
    </row>
    <row r="881" spans="1:2" ht="15.75" customHeight="1">
      <c r="A881" s="19">
        <v>880</v>
      </c>
      <c r="B881" s="9">
        <f t="shared" si="0"/>
        <v>0</v>
      </c>
    </row>
    <row r="882" spans="1:2" ht="15.75" customHeight="1">
      <c r="A882" s="19">
        <v>881</v>
      </c>
      <c r="B882" s="9">
        <f t="shared" si="0"/>
        <v>0</v>
      </c>
    </row>
    <row r="883" spans="1:2" ht="15.75" customHeight="1">
      <c r="A883" s="19">
        <v>882</v>
      </c>
      <c r="B883" s="9">
        <f t="shared" si="0"/>
        <v>0</v>
      </c>
    </row>
    <row r="884" spans="1:2" ht="15.75" customHeight="1">
      <c r="A884" s="19">
        <v>883</v>
      </c>
      <c r="B884" s="9">
        <f t="shared" si="0"/>
        <v>0</v>
      </c>
    </row>
    <row r="885" spans="1:2" ht="15.75" customHeight="1">
      <c r="A885" s="19">
        <v>884</v>
      </c>
      <c r="B885" s="9">
        <f t="shared" si="0"/>
        <v>0</v>
      </c>
    </row>
    <row r="886" spans="1:2" ht="15.75" customHeight="1">
      <c r="A886" s="19">
        <v>885</v>
      </c>
      <c r="B886" s="9">
        <f t="shared" si="0"/>
        <v>0</v>
      </c>
    </row>
    <row r="887" spans="1:2" ht="15.75" customHeight="1">
      <c r="A887" s="19">
        <v>886</v>
      </c>
      <c r="B887" s="9">
        <f t="shared" si="0"/>
        <v>0</v>
      </c>
    </row>
    <row r="888" spans="1:2" ht="15.75" customHeight="1">
      <c r="A888" s="19">
        <v>887</v>
      </c>
      <c r="B888" s="9">
        <f t="shared" si="0"/>
        <v>0</v>
      </c>
    </row>
    <row r="889" spans="1:2" ht="15.75" customHeight="1">
      <c r="A889" s="19">
        <v>888</v>
      </c>
      <c r="B889" s="9">
        <f t="shared" si="0"/>
        <v>0</v>
      </c>
    </row>
    <row r="890" spans="1:2" ht="15.75" customHeight="1">
      <c r="A890" s="19">
        <v>889</v>
      </c>
      <c r="B890" s="9">
        <f t="shared" si="0"/>
        <v>0</v>
      </c>
    </row>
    <row r="891" spans="1:2" ht="15.75" customHeight="1">
      <c r="A891" s="19">
        <v>890</v>
      </c>
      <c r="B891" s="9">
        <f t="shared" si="0"/>
        <v>0</v>
      </c>
    </row>
    <row r="892" spans="1:2" ht="15.75" customHeight="1">
      <c r="A892" s="19">
        <v>891</v>
      </c>
      <c r="B892" s="9">
        <f t="shared" si="0"/>
        <v>0</v>
      </c>
    </row>
    <row r="893" spans="1:2" ht="15.75" customHeight="1">
      <c r="A893" s="19">
        <v>892</v>
      </c>
      <c r="B893" s="9">
        <f t="shared" si="0"/>
        <v>0</v>
      </c>
    </row>
    <row r="894" spans="1:2" ht="15.75" customHeight="1">
      <c r="A894" s="19">
        <v>893</v>
      </c>
      <c r="B894" s="9">
        <f t="shared" si="0"/>
        <v>0</v>
      </c>
    </row>
    <row r="895" spans="1:2" ht="15.75" customHeight="1">
      <c r="A895" s="19">
        <v>894</v>
      </c>
      <c r="B895" s="9">
        <f t="shared" si="0"/>
        <v>0</v>
      </c>
    </row>
    <row r="896" spans="1:2" ht="15.75" customHeight="1">
      <c r="A896" s="19">
        <v>895</v>
      </c>
      <c r="B896" s="9">
        <f t="shared" si="0"/>
        <v>0</v>
      </c>
    </row>
    <row r="897" spans="1:2" ht="15.75" customHeight="1">
      <c r="A897" s="19">
        <v>896</v>
      </c>
      <c r="B897" s="9">
        <f t="shared" si="0"/>
        <v>0</v>
      </c>
    </row>
    <row r="898" spans="1:2" ht="15.75" customHeight="1">
      <c r="A898" s="19">
        <v>897</v>
      </c>
      <c r="B898" s="9">
        <f t="shared" si="0"/>
        <v>0</v>
      </c>
    </row>
    <row r="899" spans="1:2" ht="15.75" customHeight="1">
      <c r="A899" s="19">
        <v>898</v>
      </c>
      <c r="B899" s="9">
        <f t="shared" si="0"/>
        <v>0</v>
      </c>
    </row>
    <row r="900" spans="1:2" ht="15.75" customHeight="1">
      <c r="A900" s="19">
        <v>899</v>
      </c>
      <c r="B900" s="9">
        <f t="shared" si="0"/>
        <v>0</v>
      </c>
    </row>
    <row r="901" spans="1:2" ht="15.75" customHeight="1">
      <c r="A901" s="19">
        <v>900</v>
      </c>
      <c r="B901" s="9">
        <f t="shared" si="0"/>
        <v>0</v>
      </c>
    </row>
    <row r="902" spans="1:2" ht="15.75" customHeight="1">
      <c r="A902" s="19">
        <v>901</v>
      </c>
      <c r="B902" s="9">
        <f t="shared" si="0"/>
        <v>0</v>
      </c>
    </row>
    <row r="903" spans="1:2" ht="15.75" customHeight="1">
      <c r="A903" s="19">
        <v>902</v>
      </c>
      <c r="B903" s="9">
        <f t="shared" si="0"/>
        <v>0</v>
      </c>
    </row>
    <row r="904" spans="1:2" ht="15.75" customHeight="1">
      <c r="A904" s="19">
        <v>903</v>
      </c>
      <c r="B904" s="9">
        <f t="shared" si="0"/>
        <v>0</v>
      </c>
    </row>
    <row r="905" spans="1:2" ht="15.75" customHeight="1">
      <c r="A905" s="19">
        <v>904</v>
      </c>
      <c r="B905" s="9">
        <f t="shared" si="0"/>
        <v>0</v>
      </c>
    </row>
    <row r="906" spans="1:2" ht="15.75" customHeight="1">
      <c r="A906" s="19">
        <v>905</v>
      </c>
      <c r="B906" s="9">
        <f t="shared" si="0"/>
        <v>0</v>
      </c>
    </row>
    <row r="907" spans="1:2" ht="15.75" customHeight="1">
      <c r="A907" s="19">
        <v>906</v>
      </c>
      <c r="B907" s="9">
        <f t="shared" si="0"/>
        <v>0</v>
      </c>
    </row>
    <row r="908" spans="1:2" ht="15.75" customHeight="1">
      <c r="A908" s="19">
        <v>907</v>
      </c>
      <c r="B908" s="9">
        <f t="shared" si="0"/>
        <v>0</v>
      </c>
    </row>
    <row r="909" spans="1:2" ht="15.75" customHeight="1">
      <c r="A909" s="19">
        <v>908</v>
      </c>
      <c r="B909" s="9">
        <f t="shared" si="0"/>
        <v>0</v>
      </c>
    </row>
    <row r="910" spans="1:2" ht="15.75" customHeight="1">
      <c r="A910" s="19">
        <v>909</v>
      </c>
      <c r="B910" s="9">
        <f t="shared" si="0"/>
        <v>0</v>
      </c>
    </row>
    <row r="911" spans="1:2" ht="15.75" customHeight="1">
      <c r="A911" s="19">
        <v>910</v>
      </c>
      <c r="B911" s="9">
        <f t="shared" si="0"/>
        <v>0</v>
      </c>
    </row>
    <row r="912" spans="1:2" ht="15.75" customHeight="1">
      <c r="A912" s="19">
        <v>911</v>
      </c>
      <c r="B912" s="9">
        <f t="shared" si="0"/>
        <v>0</v>
      </c>
    </row>
    <row r="913" spans="1:2" ht="15.75" customHeight="1">
      <c r="A913" s="19">
        <v>912</v>
      </c>
      <c r="B913" s="9">
        <f t="shared" si="0"/>
        <v>0</v>
      </c>
    </row>
    <row r="914" spans="1:2" ht="15.75" customHeight="1">
      <c r="A914" s="19">
        <v>913</v>
      </c>
      <c r="B914" s="9">
        <f t="shared" si="0"/>
        <v>0</v>
      </c>
    </row>
    <row r="915" spans="1:2" ht="15.75" customHeight="1">
      <c r="A915" s="19">
        <v>914</v>
      </c>
      <c r="B915" s="9">
        <f t="shared" si="0"/>
        <v>0</v>
      </c>
    </row>
    <row r="916" spans="1:2" ht="15.75" customHeight="1">
      <c r="A916" s="19">
        <v>915</v>
      </c>
      <c r="B916" s="9">
        <f t="shared" si="0"/>
        <v>0</v>
      </c>
    </row>
    <row r="917" spans="1:2" ht="15.75" customHeight="1">
      <c r="A917" s="19">
        <v>916</v>
      </c>
      <c r="B917" s="9">
        <f t="shared" si="0"/>
        <v>0</v>
      </c>
    </row>
    <row r="918" spans="1:2" ht="15.75" customHeight="1">
      <c r="A918" s="19">
        <v>917</v>
      </c>
      <c r="B918" s="9">
        <f t="shared" si="0"/>
        <v>0</v>
      </c>
    </row>
    <row r="919" spans="1:2" ht="15.75" customHeight="1">
      <c r="A919" s="19">
        <v>918</v>
      </c>
      <c r="B919" s="9">
        <f t="shared" si="0"/>
        <v>0</v>
      </c>
    </row>
    <row r="920" spans="1:2" ht="15.75" customHeight="1">
      <c r="A920" s="19">
        <v>919</v>
      </c>
      <c r="B920" s="9">
        <f t="shared" si="0"/>
        <v>0</v>
      </c>
    </row>
    <row r="921" spans="1:2" ht="15.75" customHeight="1">
      <c r="A921" s="19">
        <v>920</v>
      </c>
      <c r="B921" s="9">
        <f t="shared" si="0"/>
        <v>0</v>
      </c>
    </row>
    <row r="922" spans="1:2" ht="15.75" customHeight="1">
      <c r="A922" s="19">
        <v>921</v>
      </c>
      <c r="B922" s="9">
        <f t="shared" si="0"/>
        <v>0</v>
      </c>
    </row>
    <row r="923" spans="1:2" ht="15.75" customHeight="1">
      <c r="A923" s="19">
        <v>922</v>
      </c>
      <c r="B923" s="9">
        <f t="shared" si="0"/>
        <v>0</v>
      </c>
    </row>
  </sheetData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groupe</vt:lpstr>
      <vt:lpstr>liste des taches</vt:lpstr>
      <vt:lpstr>Recap</vt:lpstr>
      <vt:lpstr>avancement</vt:lpstr>
      <vt:lpstr>detail_avancement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Ericka</cp:lastModifiedBy>
  <dcterms:modified xsi:type="dcterms:W3CDTF">2026-10-15T10:52:05Z</dcterms:modified>
</cp:coreProperties>
</file>