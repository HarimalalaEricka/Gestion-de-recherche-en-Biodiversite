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on design 1" sheetId="1" r:id="rId5"/>
    <sheet state="visible" name="Estimation Agile design 2" sheetId="2" r:id="rId6"/>
    <sheet state="visible" name="Estimation info 1" sheetId="3" r:id="rId7"/>
    <sheet state="visible" name="Estimation info 2" sheetId="4" r:id="rId8"/>
    <sheet state="visible" name="Estimation info 3" sheetId="5" r:id="rId9"/>
    <sheet state="visible" name="Estimation Agile info 4" sheetId="6" r:id="rId10"/>
    <sheet state="visible" name="Estimation binome" sheetId="7" r:id="rId11"/>
  </sheets>
  <definedNames/>
  <calcPr/>
</workbook>
</file>

<file path=xl/sharedStrings.xml><?xml version="1.0" encoding="utf-8"?>
<sst xmlns="http://schemas.openxmlformats.org/spreadsheetml/2006/main" count="436" uniqueCount="331">
  <si>
    <t>Estimation en jours</t>
  </si>
  <si>
    <t>Tâches</t>
  </si>
  <si>
    <t>Préparation</t>
  </si>
  <si>
    <t>Prise en main du projet</t>
  </si>
  <si>
    <t xml:space="preserve">Apprentissage Nouvelles technologies </t>
  </si>
  <si>
    <t>Installation des environnements</t>
  </si>
  <si>
    <t xml:space="preserve">Analyse des besoins de la Direction Stratégie </t>
  </si>
  <si>
    <t>Planification des fonctionnalités du module</t>
  </si>
  <si>
    <t>Sous Total</t>
  </si>
  <si>
    <t xml:space="preserve">Design </t>
  </si>
  <si>
    <t xml:space="preserve">Conception des maquettes </t>
  </si>
  <si>
    <t>Modification des maquettes UI/UX</t>
  </si>
  <si>
    <t>Mise en place du site sur Wix</t>
  </si>
  <si>
    <t xml:space="preserve">Modification et attente de validation </t>
  </si>
  <si>
    <t>Vérifications de performance et adaptabilité mobile</t>
  </si>
  <si>
    <t>Développement</t>
  </si>
  <si>
    <t xml:space="preserve">Développement de la gestion des contrôles qualité </t>
  </si>
  <si>
    <t>CRUD pour les deux types de contrôles (supports &amp; mobiles)</t>
  </si>
  <si>
    <t xml:space="preserve">Création de différentes pages selon les types de contrôles </t>
  </si>
  <si>
    <t>Champs spécifiques selon le type : numéro de bus, état de visibilité mobile, remarque, etc.</t>
  </si>
  <si>
    <t>Catalogage des problèmes rencontrés et solutions proposées</t>
  </si>
  <si>
    <t xml:space="preserve">Tests et modifications selon les besoins des fonctionnalités </t>
  </si>
  <si>
    <t>Mise en place du tableau de bord</t>
  </si>
  <si>
    <t>Développement des graphiques/statistiques</t>
  </si>
  <si>
    <t>Configuration des filtres et vues analytiques</t>
  </si>
  <si>
    <t>Mise en place des rapports analytiques personnalisés</t>
  </si>
  <si>
    <t>Configuration des droits d'accès</t>
  </si>
  <si>
    <t>Accès complets à tous les utilisateurs internes d’Odoo</t>
  </si>
  <si>
    <t>Analyse de la structure du contenu</t>
  </si>
  <si>
    <t>Organisation du contenu pour une meilleure navigation</t>
  </si>
  <si>
    <t>Tests</t>
  </si>
  <si>
    <t>Tests et corrections</t>
  </si>
  <si>
    <t>Formation de la Direction Stratégie</t>
  </si>
  <si>
    <t>Gestion de projet</t>
  </si>
  <si>
    <t>Suivi et coordination du projet</t>
  </si>
  <si>
    <t xml:space="preserve">Autres projets </t>
  </si>
  <si>
    <t xml:space="preserve">Simulations sur les supports </t>
  </si>
  <si>
    <t xml:space="preserve">Visite des sites de l'entreprise pour rendre un rapport qualité </t>
  </si>
  <si>
    <t xml:space="preserve">Assistance en communication (interne et externe) </t>
  </si>
  <si>
    <t xml:space="preserve">Montages vidéos </t>
  </si>
  <si>
    <t>Total</t>
  </si>
  <si>
    <t>ESTIMATION DE STAGE ETUXXXX</t>
  </si>
  <si>
    <t>Estimation</t>
  </si>
  <si>
    <t>Sprint 0</t>
  </si>
  <si>
    <t>Analyse et Conception</t>
  </si>
  <si>
    <t>Apprentissage des nouvelles technologies</t>
  </si>
  <si>
    <t>Configuration des environnements</t>
  </si>
  <si>
    <t>Analyse des besoins et spécifications fonctionnelles</t>
  </si>
  <si>
    <t>Analyse et spécification des besoins du projet</t>
  </si>
  <si>
    <t>Conception de l'architecture et de la base</t>
  </si>
  <si>
    <t>Planification du projet et gestion des tâches</t>
  </si>
  <si>
    <t>Sous-total</t>
  </si>
  <si>
    <t>Sprint 1</t>
  </si>
  <si>
    <t>Identité visuelle et interface</t>
  </si>
  <si>
    <t>Analyse de l'identité visuelle existante et recherche</t>
  </si>
  <si>
    <t>Wireframe</t>
  </si>
  <si>
    <t>Conception initiale</t>
  </si>
  <si>
    <t>Création des éléments graphiques</t>
  </si>
  <si>
    <t>Intégration et documentation</t>
  </si>
  <si>
    <t>Sprint 2</t>
  </si>
  <si>
    <t>Gestion des utilisateurs</t>
  </si>
  <si>
    <t>Inscription des clients</t>
  </si>
  <si>
    <t>Gestion d'authentification (client et admin)</t>
  </si>
  <si>
    <t>Mot de passe oublié et réinitialisation par mail</t>
  </si>
  <si>
    <t>Gestion des fournisseurs</t>
  </si>
  <si>
    <t>BACK-OFFICE</t>
  </si>
  <si>
    <t>Suivi des fournisseurs avec CRUD</t>
  </si>
  <si>
    <t>Integration</t>
  </si>
  <si>
    <t>Tests et debug</t>
  </si>
  <si>
    <t>Sprint 3</t>
  </si>
  <si>
    <t>Gestion des abonnements</t>
  </si>
  <si>
    <t>CRUD des abonnements</t>
  </si>
  <si>
    <t>Recherche multi mots</t>
  </si>
  <si>
    <t>Filtre par date, catégorie, type d'abonnement,  département</t>
  </si>
  <si>
    <t>Export PDF et Excel</t>
  </si>
  <si>
    <t>FRONT-OFFICE</t>
  </si>
  <si>
    <t>Liste des abonnements par département avec export PDF et Excel</t>
  </si>
  <si>
    <t>0.5</t>
  </si>
  <si>
    <t>Filtre par date, catégorie, type d'abonnement</t>
  </si>
  <si>
    <t>Sprint 4</t>
  </si>
  <si>
    <t>Prévision Budgétaire</t>
  </si>
  <si>
    <t>Définition du Budget Global</t>
  </si>
  <si>
    <t>Répartition Automatique du Budget par Catégorie</t>
  </si>
  <si>
    <t>Historique des abonnements prévus par département avec filtre par département et catégorie</t>
  </si>
  <si>
    <t>Prévision Budgétaire par catégorie et par département avec filtre par département et catégorie</t>
  </si>
  <si>
    <t>Envoi par email pour chaque responsable de département les détail de prévision</t>
  </si>
  <si>
    <t>Sprint 5</t>
  </si>
  <si>
    <t>Alertes et notifications</t>
  </si>
  <si>
    <t>BACK-OFFICE et FRONT-OFFICE</t>
  </si>
  <si>
    <t>Alerte pour les abonnements expirés (un mois avant la date d'expiration)</t>
  </si>
  <si>
    <t>Rappel pour les abonnements expirés (une semaine avant la date d'expiration)</t>
  </si>
  <si>
    <t>Sprint 6</t>
  </si>
  <si>
    <t>Système de messagerie</t>
  </si>
  <si>
    <t>Géstion des messages envoyés vers les responsables par département</t>
  </si>
  <si>
    <t>Recherche des utilisateurs</t>
  </si>
  <si>
    <t>Notifications  pour les nouveaux messages reçus</t>
  </si>
  <si>
    <t>Géstion des messages envoyés par l'administrateur</t>
  </si>
  <si>
    <t>Sprint 7</t>
  </si>
  <si>
    <t>Statistique et prédiction</t>
  </si>
  <si>
    <t>Tableau de bord de suivi</t>
  </si>
  <si>
    <t>KPI des depenses globale par mois avec prédiction pour le prochain mois</t>
  </si>
  <si>
    <t>Liste des prédictions des dépense d'abonnement par département pour le prochain mois</t>
  </si>
  <si>
    <t>KPI des depenses par departement par mois avec prédiction pour le prochain mois</t>
  </si>
  <si>
    <t>Historique des abonnements proches d ' expiration avec statut et filtre (Liste)</t>
  </si>
  <si>
    <t>Estimation des dépense par département pour le prochain mois</t>
  </si>
  <si>
    <t>Total Scope</t>
  </si>
  <si>
    <t>Étude et prise en main du projet</t>
  </si>
  <si>
    <t>Développement des compétences nécessaires</t>
  </si>
  <si>
    <t>Analyse et conception</t>
  </si>
  <si>
    <t>Analyse, conception</t>
  </si>
  <si>
    <t>Design</t>
  </si>
  <si>
    <t>Création des pages</t>
  </si>
  <si>
    <t>Gestion d'utilisateur</t>
  </si>
  <si>
    <t>Récupération des données utilisateurs dans AD ou GLPI</t>
  </si>
  <si>
    <t>Connexion profil</t>
  </si>
  <si>
    <t>Gestion permission</t>
  </si>
  <si>
    <t>Visualisation de profil</t>
  </si>
  <si>
    <t>Paramétrage</t>
  </si>
  <si>
    <t>CRUD Type de Compte</t>
  </si>
  <si>
    <t>CRUD Utilisateurs</t>
  </si>
  <si>
    <t>CRUD Demande</t>
  </si>
  <si>
    <t>CRUD Type de Demande</t>
  </si>
  <si>
    <t>CRUD Diagnostics</t>
  </si>
  <si>
    <t>Gestion des Demandes</t>
  </si>
  <si>
    <t>Upload d'image dans l'ajout des tickets</t>
  </si>
  <si>
    <t>Diagnostic des demandes</t>
  </si>
  <si>
    <t>Validation ou refus des tickets</t>
  </si>
  <si>
    <t>Assignation avec délai du demande</t>
  </si>
  <si>
    <t>Saisie de l'intervention avec durée</t>
  </si>
  <si>
    <t>Gestion des retours de satisfaction des utilisateurs avec clôture de la demande</t>
  </si>
  <si>
    <t>Vue détaillé de chaque demande</t>
  </si>
  <si>
    <t>Suivi des Demandes</t>
  </si>
  <si>
    <t>Generation de rapport sur les demandes en format PDF</t>
  </si>
  <si>
    <t>Filtrage par statut des demandes</t>
  </si>
  <si>
    <t>Recherche multicritere</t>
  </si>
  <si>
    <t>Recherche entre deux dates</t>
  </si>
  <si>
    <t>Etats d'analyse et statistiques</t>
  </si>
  <si>
    <t>Nombre de ticket par statut</t>
  </si>
  <si>
    <t>Total des tickets</t>
  </si>
  <si>
    <t>Chart graphique</t>
  </si>
  <si>
    <t>Suivi des tickets en retard</t>
  </si>
  <si>
    <t>Système de notification par e-mail</t>
  </si>
  <si>
    <t>Déploiement</t>
  </si>
  <si>
    <t>Déploiement local et cloud</t>
  </si>
  <si>
    <t>Formation</t>
  </si>
  <si>
    <t>Rédaction manuel d'utilisation</t>
  </si>
  <si>
    <t>Formation utilisateur</t>
  </si>
  <si>
    <t>Etapes</t>
  </si>
  <si>
    <t>Prise en main</t>
  </si>
  <si>
    <t>Installation environnements</t>
  </si>
  <si>
    <t>Maquette</t>
  </si>
  <si>
    <t>Réalisation</t>
  </si>
  <si>
    <t>Gestion utilisateur</t>
  </si>
  <si>
    <t>Connexion</t>
  </si>
  <si>
    <t>Gestion rôles et permissions</t>
  </si>
  <si>
    <t>Gestion personnel</t>
  </si>
  <si>
    <t>CRUD contrat</t>
  </si>
  <si>
    <t>CRUD direction</t>
  </si>
  <si>
    <t>CRUD personnel</t>
  </si>
  <si>
    <t>Gestion ressources</t>
  </si>
  <si>
    <t>CRUD ressources</t>
  </si>
  <si>
    <t>CRUD profil</t>
  </si>
  <si>
    <t>Gestion habilitation</t>
  </si>
  <si>
    <t>CRUD demande</t>
  </si>
  <si>
    <t>Acceptation/refus et validation</t>
  </si>
  <si>
    <t>CRUD habilitation</t>
  </si>
  <si>
    <t>Historique demande</t>
  </si>
  <si>
    <t>Historique habilitation</t>
  </si>
  <si>
    <t>Export fiche habilitation</t>
  </si>
  <si>
    <t>Suivi utilisateur</t>
  </si>
  <si>
    <t>Historique d'activités</t>
  </si>
  <si>
    <t>Recherche par période/action</t>
  </si>
  <si>
    <t>Notification</t>
  </si>
  <si>
    <t>Notification changement sur les habilitations</t>
  </si>
  <si>
    <t>Paramétrages</t>
  </si>
  <si>
    <t>Etat d'analyse et statistiques</t>
  </si>
  <si>
    <t>Tableau de bord</t>
  </si>
  <si>
    <t>Tri et filtre</t>
  </si>
  <si>
    <t>Test</t>
  </si>
  <si>
    <t>Test et corrections</t>
  </si>
  <si>
    <t>Livraison</t>
  </si>
  <si>
    <t>Autres projets</t>
  </si>
  <si>
    <t>Corrections bugs application Tiwi</t>
  </si>
  <si>
    <t>Assistance utilisateur (hard, soft)</t>
  </si>
  <si>
    <t>Apprentissage Nouvelles technologies</t>
  </si>
  <si>
    <t>installation des environnements</t>
  </si>
  <si>
    <t>Projet</t>
  </si>
  <si>
    <t>Création vues form et list des modèles de bases</t>
  </si>
  <si>
    <t>chambres, hotel, service, activité</t>
  </si>
  <si>
    <t>Type des chambres,  service, activité</t>
  </si>
  <si>
    <t>Gestion des Réservation</t>
  </si>
  <si>
    <t xml:space="preserve">Création des réservations clients </t>
  </si>
  <si>
    <t>Annulation et Confirmation des réservations</t>
  </si>
  <si>
    <t>Payement anticipé ou en avance du réservation</t>
  </si>
  <si>
    <t>Entretien ménagé</t>
  </si>
  <si>
    <t>Création des formulaires de gestion du ménage et planning du ménage</t>
  </si>
  <si>
    <t>Intégration avec la réservation pour les états des chambres (libre/occupée)</t>
  </si>
  <si>
    <t>Folio (compte client pendant son séjour)</t>
  </si>
  <si>
    <t>Intégration avec le module de réservation pour la génération automatique de folios</t>
  </si>
  <si>
    <t xml:space="preserve">Gestion des activités du client </t>
  </si>
  <si>
    <t>Gestion des services</t>
  </si>
  <si>
    <t>Facturation et Payment du Folio</t>
  </si>
  <si>
    <t>Gestion de liste des prix</t>
  </si>
  <si>
    <t>Ajouter une liste des prix pour la réservation</t>
  </si>
  <si>
    <t>Gestion de transport</t>
  </si>
  <si>
    <t>Gérer les transferts des clients vers l'hotel</t>
  </si>
  <si>
    <t>Planning de transport</t>
  </si>
  <si>
    <t>OTA</t>
  </si>
  <si>
    <t>Intégration avec les plateformes de réservation en ligne : Booking</t>
  </si>
  <si>
    <t>POS (Point de vente)</t>
  </si>
  <si>
    <t>Mise en place du POS pour la liaison au folio du client</t>
  </si>
  <si>
    <t>Dashboard view</t>
  </si>
  <si>
    <t>Création d'un tableau de bord pour visualiser l'activité de l'hôtel</t>
  </si>
  <si>
    <t>Affichage de l'état des chambres (disponibiliité) en temps réels sur dashboard</t>
  </si>
  <si>
    <t xml:space="preserve">Possibilité de d'accéder aux fonctionnalités (comme réservration, housekeeping, ...) depuis le dashboard </t>
  </si>
  <si>
    <t>Statistique</t>
  </si>
  <si>
    <t>Diagramme des revenus par mois par ans</t>
  </si>
  <si>
    <t>Taux de réservation par type de chambre et diagramme</t>
  </si>
  <si>
    <t>Durée moyenne de séjour et diagramme</t>
  </si>
  <si>
    <t>Taux d'occupation, Taux d'annulation et diagramme</t>
  </si>
  <si>
    <t>Site Web pour l'application</t>
  </si>
  <si>
    <t>Possibilité de faire une réservation</t>
  </si>
  <si>
    <t>Consulter les comptes clients en temps réels</t>
  </si>
  <si>
    <t>Demande de confirmation du Folio</t>
  </si>
  <si>
    <t>Prévision hotelière (Prévision d'occupation des mois à venir)</t>
  </si>
  <si>
    <t>Mis en place des variables de predictions</t>
  </si>
  <si>
    <t xml:space="preserve">Creation de modeles </t>
  </si>
  <si>
    <t>SUBTOTAL du projet</t>
  </si>
  <si>
    <t>Assistance</t>
  </si>
  <si>
    <t>TOTAL</t>
  </si>
  <si>
    <t>Analyse et Conception de projet</t>
  </si>
  <si>
    <t xml:space="preserve">apprentissage nouveau technologie </t>
  </si>
  <si>
    <t xml:space="preserve">SPRINT I </t>
  </si>
  <si>
    <t xml:space="preserve">Création de Base de données </t>
  </si>
  <si>
    <t>Apprentissage de Websocket</t>
  </si>
  <si>
    <t>SOUS TOTAL</t>
  </si>
  <si>
    <t>Créations d'agent(code python et websocket) capable de collecter les informations de Ressources physique du Système</t>
  </si>
  <si>
    <t>Créations d'agent(code python et websocket) capable de collecter les informations de Network Système</t>
  </si>
  <si>
    <t>Création d'agent(code python et websocket) capable de collecter les informations des commandes taper sur le système</t>
  </si>
  <si>
    <t xml:space="preserve">SPRINT II </t>
  </si>
  <si>
    <t xml:space="preserve">Création de script sh linux pour automatiser les services des agents creer </t>
  </si>
  <si>
    <t>PARTIE ADMINISTRATEUR(Front-end et Backend avec Intégration API)</t>
  </si>
  <si>
    <t>Création de Login et gestion de token admin</t>
  </si>
  <si>
    <t>Gestion de Serveur et Générations des cles specifiques pour chaque serveur pour la communication Websockets</t>
  </si>
  <si>
    <t xml:space="preserve">Gestion de compte Superviseur </t>
  </si>
  <si>
    <t>SPRINT III</t>
  </si>
  <si>
    <t>Gestion d'Affectation des serveurs  a plusieurs Superviseurs</t>
  </si>
  <si>
    <t>PARTIE SUPERVISEUR(Front-end et Backend avec Intégration API)</t>
  </si>
  <si>
    <t>Création de Login et gestion de token superviseur</t>
  </si>
  <si>
    <t>SPRINT IV</t>
  </si>
  <si>
    <t>Visualisation en temps réels des consommations de Ressources Systeme de chaque Serveur cible par l'agent</t>
  </si>
  <si>
    <t>Visualisation en  temps réels des consommations de Reseau de chaque serveur cible par l'agent</t>
  </si>
  <si>
    <t>Consultations des historiques de commandes taper par l'utilisateur pour chaque serveur cible</t>
  </si>
  <si>
    <t>Création des view nécessaires</t>
  </si>
  <si>
    <t>PARTIE ADMINISTRATEUR ET PARTIE SUPERVISEUR(front-end et Backend avec Intégration API)</t>
  </si>
  <si>
    <t>Automatisation d'intégration de clés serveur dans chaque agent et lien de téléchargement d'agent(administrateur)</t>
  </si>
  <si>
    <t>Mise en place de configuration de seuil pour chaque serveur (seuil de ressource)</t>
  </si>
  <si>
    <t xml:space="preserve">SPRINT V </t>
  </si>
  <si>
    <t>Mise en place de Représentation graphique de load average cpu et ram en temps réels pour chaque Serveur</t>
  </si>
  <si>
    <t>Mise en place de Représentation graphique de consommations de Réseau pour chaque Serveur</t>
  </si>
  <si>
    <t xml:space="preserve">Créations des views nécessaires </t>
  </si>
  <si>
    <t>PARTIE SUPERVISEUR ET ADMINISTRATEUR(Front-end et backend avec API)</t>
  </si>
  <si>
    <t>Alerte en temps réels en cas de dépassement de seuil poser par l'administrateur(Superviseur)</t>
  </si>
  <si>
    <t>SPRINT VI</t>
  </si>
  <si>
    <t>Notifications en temps réels pour voir tous les alertes en cas de dépassement de seuil(Superviseur)</t>
  </si>
  <si>
    <t>Optimisation de Backend pour la performance websocket</t>
  </si>
  <si>
    <t>Optimisation Front-end pour le soin de design</t>
  </si>
  <si>
    <t>Fonctionnalité de Filtre pour tous les pages</t>
  </si>
  <si>
    <t>SOMME TOTAL</t>
  </si>
  <si>
    <t>Licence</t>
  </si>
  <si>
    <t>ETU001999</t>
  </si>
  <si>
    <t>ETU002000</t>
  </si>
  <si>
    <t>John</t>
  </si>
  <si>
    <t>Jane</t>
  </si>
  <si>
    <t>installation des environnements serveurs</t>
  </si>
  <si>
    <t>Import données</t>
  </si>
  <si>
    <t>Employé</t>
  </si>
  <si>
    <t>Type de raphia</t>
  </si>
  <si>
    <t>Localisation/Producteur/Parcelle</t>
  </si>
  <si>
    <t>Type de travail</t>
  </si>
  <si>
    <t>Preparation magasin Raphia</t>
  </si>
  <si>
    <t>scan badge</t>
  </si>
  <si>
    <t xml:space="preserve">Interface avec validation </t>
  </si>
  <si>
    <t>Bouton annulation</t>
  </si>
  <si>
    <t>Date et heure automatique au moment de la validation</t>
  </si>
  <si>
    <t>Metier</t>
  </si>
  <si>
    <r>
      <rPr>
        <rFont val="Arial"/>
        <color rgb="FF222222"/>
      </rPr>
      <t xml:space="preserve">Integration </t>
    </r>
    <r>
      <rPr>
        <rFont val="Arial"/>
        <color rgb="FF222222"/>
        <sz val="10.0"/>
      </rPr>
      <t>poids</t>
    </r>
  </si>
  <si>
    <r>
      <rPr>
        <rFont val="Arial"/>
        <color rgb="FF222222"/>
      </rPr>
      <t xml:space="preserve">Generer code barre </t>
    </r>
    <r>
      <rPr>
        <rFont val="Arial"/>
        <color rgb="FF222222"/>
        <sz val="10.0"/>
      </rPr>
      <t>numéro unique</t>
    </r>
  </si>
  <si>
    <t>Historique (recherche filtré)</t>
  </si>
  <si>
    <t>Distribution vers crocheteurs</t>
  </si>
  <si>
    <r>
      <rPr>
        <rFont val="Arial"/>
        <color rgb="FF222222"/>
      </rPr>
      <t xml:space="preserve">Scan barcode </t>
    </r>
    <r>
      <rPr>
        <rFont val="Arial"/>
        <color rgb="FF222222"/>
        <sz val="10.0"/>
      </rPr>
      <t>numéro unique</t>
    </r>
  </si>
  <si>
    <t>Intégration plusieurs numéros uniques</t>
  </si>
  <si>
    <t>Scan type de travail</t>
  </si>
  <si>
    <t>Scan ticket SEAM (code barre)</t>
  </si>
  <si>
    <t>Rajout numéro unique même si la première distribution a été déjà faite</t>
  </si>
  <si>
    <t>scan badge crocheteur</t>
  </si>
  <si>
    <t>Interface avec validation (controle de valeur)</t>
  </si>
  <si>
    <t>Controle bout de table</t>
  </si>
  <si>
    <t>Bouton spécifiant pièce irrécupérable et stockage dans le système</t>
  </si>
  <si>
    <t>Bouton spécifiant qu'un n° unique est irrécupérable et sera rejeté dans les en-cours
Nécessité de nouvelle distribution après</t>
  </si>
  <si>
    <r>
      <rPr>
        <rFont val="Arial"/>
        <color rgb="FF222222"/>
      </rPr>
      <t xml:space="preserve">Generer QrCode pour avoir les donnees du produits : 
</t>
    </r>
    <r>
      <rPr>
        <rFont val="Arial"/>
        <color rgb="FF222222"/>
        <sz val="10.0"/>
      </rPr>
      <t>- tous les n°unique
- toutes les provenances
- qui a fait le crochetage</t>
    </r>
  </si>
  <si>
    <t>Impression QrCode</t>
  </si>
  <si>
    <t>Possibilité impression QrCode ultérieurement</t>
  </si>
  <si>
    <t>Système de cache et optimisation</t>
  </si>
  <si>
    <t>Cache au niveau des postes clients</t>
  </si>
  <si>
    <t>Cache sur le serveur local</t>
  </si>
  <si>
    <t>Reprise apres coupure et indempotence des données</t>
  </si>
  <si>
    <t>Compression et optimisation des données</t>
  </si>
  <si>
    <t>Etats d'analyse et statistiques (admin)</t>
  </si>
  <si>
    <t>Quantité de raphia préparée par période (jour, semaine, mois).</t>
  </si>
  <si>
    <r>
      <rPr>
        <rFont val="Arial"/>
        <color theme="1"/>
      </rPr>
      <t xml:space="preserve">Poids moyen </t>
    </r>
    <r>
      <rPr>
        <rFont val="Arial"/>
        <color theme="1"/>
        <sz val="10.0"/>
      </rPr>
      <t>préparé par trieur par période</t>
    </r>
  </si>
  <si>
    <t>Distribution de la production par localisation/producteur/parcelle.</t>
  </si>
  <si>
    <t>Identifier le type de raphia le plus utilisé.</t>
  </si>
  <si>
    <t>Poids total distribué par période.</t>
  </si>
  <si>
    <t>Répartition des travaux par type de raphia et crocheteur/travail.</t>
  </si>
  <si>
    <t>Suivi des crocheteurs (performance en termes de durée de travail).</t>
  </si>
  <si>
    <t>Temps entre préparation et distribution pour l'analyse de l'efficacité logistique.</t>
  </si>
  <si>
    <t>Taux de pièces irrécupérables par crocheteur, type de raphia, ou travail.</t>
  </si>
  <si>
    <r>
      <rPr>
        <rFont val="Arial"/>
        <color theme="1"/>
      </rPr>
      <t xml:space="preserve">Temps entre </t>
    </r>
    <r>
      <rPr>
        <rFont val="Arial"/>
        <color theme="1"/>
        <sz val="10.0"/>
      </rPr>
      <t>distribution et contrôle bout de table</t>
    </r>
  </si>
  <si>
    <t>Nombre de pièces contrôlées par contrôleur.</t>
  </si>
  <si>
    <r>
      <rPr>
        <rFont val="Arial"/>
        <color theme="1"/>
        <sz val="10.0"/>
      </rPr>
      <t>KPI général par chaque intervenant</t>
    </r>
    <r>
      <rPr>
        <rFont val="Arial"/>
        <color theme="1"/>
        <sz val="10.0"/>
      </rPr>
      <t xml:space="preserve"> (trieurs, crocheteurs, contrôleurs) via des indicateurs, par période</t>
    </r>
  </si>
  <si>
    <t>Situation des en-cours en production en fonction des distribués et non contrôlés finaux avec les noms de crocheteuses et les numéros uniques + le type de travail</t>
  </si>
  <si>
    <t>Tests unitaires</t>
  </si>
  <si>
    <t>tests unitaires pour les fonctionnalités de collecte de données.</t>
  </si>
  <si>
    <t>Valider la génération des statistiques (exemple : vérifier les calculs et la cohérence des données).</t>
  </si>
  <si>
    <t>Tester la performance et la fiabilité de l'application (en particulier en cas de coupures réseau).</t>
  </si>
  <si>
    <t>Déploiement local</t>
  </si>
  <si>
    <t>Correction bugs sur l'application GRH</t>
  </si>
  <si>
    <t>Assistance sur site</t>
  </si>
  <si>
    <t>Déploiement application Odoo</t>
  </si>
  <si>
    <t>Personnalisation module Odoo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</si>
</sst>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/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8.0"/>
      <color rgb="FFFF0000"/>
      <name val="Arial"/>
    </font>
    <font>
      <b/>
      <sz val="18.0"/>
      <color rgb="FFFF0000"/>
      <name val="Arial"/>
    </font>
    <font>
      <b/>
      <color theme="1"/>
      <name val="Arial"/>
    </font>
    <font>
      <b/>
      <color rgb="FFCC0000"/>
      <name val="Arial"/>
    </font>
    <font>
      <b/>
      <sz val="11.0"/>
      <color rgb="FF990000"/>
      <name val="Calibri"/>
    </font>
    <font>
      <b/>
      <sz val="16.0"/>
      <color theme="1"/>
      <name val="Calibri"/>
    </font>
    <font>
      <color rgb="FF222222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4" fillId="0" fontId="4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4" fillId="0" fontId="6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0" fillId="0" fontId="7" numFmtId="0" xfId="0" applyAlignment="1" applyFont="1">
      <alignment horizontal="center" readingOrder="0" vertical="bottom"/>
    </xf>
    <xf borderId="11" fillId="0" fontId="1" numFmtId="0" xfId="0" applyAlignment="1" applyBorder="1" applyFont="1">
      <alignment horizontal="center" readingOrder="0" vertical="bottom"/>
    </xf>
    <xf borderId="0" fillId="3" fontId="8" numFmtId="0" xfId="0" applyAlignment="1" applyFill="1" applyFont="1">
      <alignment horizontal="center" readingOrder="0" vertical="bottom"/>
    </xf>
    <xf borderId="0" fillId="3" fontId="8" numFmtId="0" xfId="0" applyAlignment="1" applyFill="1" applyFont="1">
      <alignment horizontal="center" vertical="bottom"/>
    </xf>
    <xf borderId="0" fillId="4" fontId="8" numFmtId="0" xfId="0" applyAlignment="1" applyFill="1" applyFont="1">
      <alignment horizontal="center" readingOrder="0"/>
    </xf>
    <xf borderId="0" fillId="5" fontId="9" numFmtId="0" xfId="0" applyAlignment="1" applyFill="1" applyFont="1">
      <alignment horizontal="center" readingOrder="0" vertical="bottom"/>
    </xf>
    <xf borderId="0" fillId="5" fontId="9" numFmtId="0" xfId="0" applyAlignment="1" applyFill="1" applyFont="1">
      <alignment horizontal="center" vertical="bottom"/>
    </xf>
    <xf borderId="0" fillId="4" fontId="8" numFmtId="0" xfId="0" applyAlignment="1" applyFill="1" applyFont="1">
      <alignment horizontal="center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6" fontId="2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vertical="bottom"/>
    </xf>
    <xf borderId="0" fillId="7" fontId="2" numFmtId="0" xfId="0" applyAlignment="1" applyFill="1" applyFont="1">
      <alignment readingOrder="0" vertical="bottom"/>
    </xf>
    <xf borderId="0" fillId="7" fontId="2" numFmtId="0" xfId="0" applyAlignment="1" applyFill="1" applyFont="1">
      <alignment horizontal="center" readingOrder="0" vertical="bottom"/>
    </xf>
    <xf borderId="0" fillId="7" fontId="2" numFmtId="0" xfId="0" applyAlignment="1" applyFill="1" applyFont="1">
      <alignment horizontal="center" vertical="bottom"/>
    </xf>
    <xf borderId="0" fillId="8" fontId="2" numFmtId="0" xfId="0" applyAlignment="1" applyFill="1" applyFont="1">
      <alignment readingOrder="0" vertical="bottom"/>
    </xf>
    <xf borderId="0" fillId="8" fontId="2" numFmtId="0" xfId="0" applyAlignment="1" applyFill="1" applyFont="1">
      <alignment horizontal="center" readingOrder="0" vertical="bottom"/>
    </xf>
    <xf borderId="0" fillId="8" fontId="2" numFmtId="0" xfId="0" applyAlignment="1" applyFill="1" applyFont="1">
      <alignment horizontal="center" vertical="bottom"/>
    </xf>
    <xf borderId="0" fillId="9" fontId="2" numFmtId="0" xfId="0" applyAlignment="1" applyFill="1" applyFont="1">
      <alignment readingOrder="0" vertical="bottom"/>
    </xf>
    <xf borderId="0" fillId="9" fontId="2" numFmtId="0" xfId="0" applyAlignment="1" applyFill="1" applyFont="1">
      <alignment horizontal="center" readingOrder="0" vertical="bottom"/>
    </xf>
    <xf borderId="0" fillId="9" fontId="2" numFmtId="0" xfId="0" applyAlignment="1" applyFill="1" applyFont="1">
      <alignment horizontal="center" vertical="bottom"/>
    </xf>
    <xf borderId="0" fillId="3" fontId="9" numFmtId="0" xfId="0" applyAlignment="1" applyFill="1" applyFont="1">
      <alignment horizontal="center" readingOrder="0" vertical="bottom"/>
    </xf>
    <xf borderId="0" fillId="3" fontId="9" numFmtId="0" xfId="0" applyAlignment="1" applyFill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4" fillId="0" fontId="5" numFmtId="0" xfId="0" applyAlignment="1" applyBorder="1" applyFont="1">
      <alignment vertical="bottom"/>
    </xf>
    <xf borderId="5" fillId="0" fontId="1" numFmtId="0" xfId="0" applyAlignment="1" applyBorder="1" applyFont="1">
      <alignment horizontal="left" readingOrder="0" vertical="center"/>
    </xf>
    <xf borderId="4" fillId="10" fontId="1" numFmtId="0" xfId="0" applyAlignment="1" applyBorder="1" applyFill="1" applyFont="1">
      <alignment vertical="bottom"/>
    </xf>
    <xf borderId="4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4" fillId="3" fontId="1" numFmtId="0" xfId="0" applyAlignment="1" applyBorder="1" applyFill="1" applyFont="1">
      <alignment horizontal="center" vertical="bottom"/>
    </xf>
    <xf borderId="4" fillId="11" fontId="1" numFmtId="0" xfId="0" applyAlignment="1" applyBorder="1" applyFill="1" applyFont="1">
      <alignment vertical="bottom"/>
    </xf>
    <xf borderId="13" fillId="0" fontId="1" numFmtId="0" xfId="0" applyAlignment="1" applyBorder="1" applyFont="1">
      <alignment horizontal="left" vertical="center"/>
    </xf>
    <xf borderId="4" fillId="12" fontId="5" numFmtId="0" xfId="0" applyAlignment="1" applyBorder="1" applyFill="1" applyFont="1">
      <alignment vertical="bottom"/>
    </xf>
    <xf borderId="4" fillId="12" fontId="5" numFmtId="0" xfId="0" applyAlignment="1" applyBorder="1" applyFill="1" applyFont="1">
      <alignment horizontal="right" vertical="bottom"/>
    </xf>
    <xf borderId="14" fillId="0" fontId="3" numFmtId="0" xfId="0" applyBorder="1" applyFont="1"/>
    <xf borderId="4" fillId="0" fontId="5" numFmtId="0" xfId="0" applyAlignment="1" applyBorder="1" applyFont="1">
      <alignment horizontal="right" vertical="bottom"/>
    </xf>
    <xf borderId="15" fillId="0" fontId="3" numFmtId="0" xfId="0" applyBorder="1" applyFont="1"/>
    <xf borderId="4" fillId="0" fontId="1" numFmtId="0" xfId="0" applyAlignment="1" applyBorder="1" applyFont="1">
      <alignment horizontal="right" vertical="bottom"/>
    </xf>
    <xf borderId="4" fillId="13" fontId="1" numFmtId="0" xfId="0" applyAlignment="1" applyBorder="1" applyFill="1" applyFont="1">
      <alignment vertical="bottom"/>
    </xf>
    <xf borderId="4" fillId="0" fontId="5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horizontal="left" vertical="center"/>
    </xf>
    <xf borderId="4" fillId="0" fontId="5" numFmtId="0" xfId="0" applyAlignment="1" applyBorder="1" applyFont="1">
      <alignment readingOrder="0" vertical="bottom"/>
    </xf>
    <xf borderId="15" fillId="0" fontId="1" numFmtId="0" xfId="0" applyAlignment="1" applyBorder="1" applyFont="1">
      <alignment horizontal="right" vertical="bottom"/>
    </xf>
    <xf borderId="4" fillId="2" fontId="1" numFmtId="0" xfId="0" applyAlignment="1" applyBorder="1" applyFill="1" applyFont="1">
      <alignment horizontal="center" shrinkToFit="0" vertical="bottom" wrapText="1"/>
    </xf>
    <xf borderId="4" fillId="2" fontId="1" numFmtId="4" xfId="0" applyAlignment="1" applyBorder="1" applyFill="1" applyFont="1" applyNumberFormat="1">
      <alignment horizontal="center" vertical="bottom"/>
    </xf>
    <xf borderId="4" fillId="0" fontId="6" numFmtId="0" xfId="0" applyAlignment="1" applyBorder="1" applyFont="1">
      <alignment shrinkToFit="0" vertical="bottom" wrapText="1"/>
    </xf>
    <xf borderId="4" fillId="0" fontId="5" numFmtId="164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horizontal="left" vertical="center"/>
    </xf>
    <xf borderId="4" fillId="10" fontId="1" numFmtId="0" xfId="0" applyAlignment="1" applyBorder="1" applyFill="1" applyFont="1">
      <alignment shrinkToFit="0" vertical="bottom" wrapText="1"/>
    </xf>
    <xf borderId="4" fillId="0" fontId="2" numFmtId="164" xfId="0" applyAlignment="1" applyBorder="1" applyFont="1" applyNumberFormat="1">
      <alignment vertical="bottom"/>
    </xf>
    <xf borderId="0" fillId="0" fontId="2" numFmtId="0" xfId="0" applyAlignment="1" applyFont="1">
      <alignment shrinkToFit="0" vertical="bottom" wrapText="1"/>
    </xf>
    <xf borderId="0" fillId="10" fontId="1" numFmtId="0" xfId="0" applyAlignment="1" applyFill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4" fillId="0" fontId="2" numFmtId="4" xfId="0" applyAlignment="1" applyBorder="1" applyFont="1" applyNumberFormat="1">
      <alignment vertical="bottom"/>
    </xf>
    <xf borderId="4" fillId="14" fontId="1" numFmtId="0" xfId="0" applyAlignment="1" applyBorder="1" applyFill="1" applyFont="1">
      <alignment shrinkToFit="0" vertical="bottom" wrapText="1"/>
    </xf>
    <xf borderId="4" fillId="14" fontId="1" numFmtId="4" xfId="0" applyAlignment="1" applyBorder="1" applyFill="1" applyFont="1" applyNumberFormat="1">
      <alignment horizontal="center" vertical="bottom"/>
    </xf>
    <xf borderId="4" fillId="0" fontId="1" numFmtId="4" xfId="0" applyAlignment="1" applyBorder="1" applyFont="1" applyNumberFormat="1">
      <alignment horizontal="center" vertical="bottom"/>
    </xf>
    <xf borderId="0" fillId="0" fontId="13" numFmtId="0" xfId="0" applyAlignment="1" applyFont="1">
      <alignment horizontal="center" shrinkToFit="0" vertical="bottom" wrapText="1"/>
    </xf>
    <xf borderId="4" fillId="0" fontId="14" numFmtId="4" xfId="0" applyAlignment="1" applyBorder="1" applyFont="1" applyNumberFormat="1">
      <alignment horizontal="center" vertical="bottom"/>
    </xf>
    <xf borderId="0" fillId="1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12" fontId="2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12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2" fontId="12" numFmtId="0" xfId="0" applyAlignment="1" applyBorder="1" applyFill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readingOrder="0" vertical="bottom"/>
    </xf>
    <xf borderId="4" fillId="12" fontId="12" numFmtId="0" xfId="0" applyAlignment="1" applyBorder="1" applyFill="1" applyFont="1">
      <alignment horizontal="right" vertical="bottom"/>
    </xf>
    <xf borderId="1" fillId="10" fontId="15" numFmtId="0" xfId="0" applyAlignment="1" applyBorder="1" applyFill="1" applyFont="1">
      <alignment horizontal="center" vertical="bottom"/>
    </xf>
    <xf borderId="4" fillId="12" fontId="5" numFmtId="0" xfId="0" applyAlignment="1" applyBorder="1" applyFill="1" applyFont="1">
      <alignment horizontal="center" vertical="bottom"/>
    </xf>
    <xf borderId="4" fillId="12" fontId="2" numFmtId="0" xfId="0" applyAlignment="1" applyBorder="1" applyFill="1" applyFont="1">
      <alignment readingOrder="0" vertical="bottom"/>
    </xf>
    <xf borderId="4" fillId="12" fontId="2" numFmtId="0" xfId="0" applyAlignment="1" applyBorder="1" applyFill="1" applyFont="1">
      <alignment horizontal="right" vertical="bottom"/>
    </xf>
    <xf borderId="4" fillId="12" fontId="1" numFmtId="0" xfId="0" applyAlignment="1" applyBorder="1" applyFill="1" applyFont="1">
      <alignment vertical="bottom"/>
    </xf>
    <xf borderId="4" fillId="12" fontId="16" numFmtId="0" xfId="0" applyAlignment="1" applyBorder="1" applyFill="1" applyFont="1">
      <alignment vertical="bottom"/>
    </xf>
    <xf borderId="4" fillId="12" fontId="2" numFmtId="0" xfId="0" applyAlignment="1" applyBorder="1" applyFill="1" applyFont="1">
      <alignment vertical="bottom"/>
    </xf>
    <xf borderId="16" fillId="12" fontId="16" numFmtId="0" xfId="0" applyAlignment="1" applyBorder="1" applyFill="1" applyFont="1">
      <alignment vertical="bottom"/>
    </xf>
    <xf borderId="4" fillId="12" fontId="2" numFmtId="0" xfId="0" applyAlignment="1" applyBorder="1" applyFill="1" applyFont="1">
      <alignment horizontal="right" readingOrder="0" vertical="bottom"/>
    </xf>
    <xf borderId="17" fillId="12" fontId="16" numFmtId="0" xfId="0" applyAlignment="1" applyBorder="1" applyFill="1" applyFont="1">
      <alignment vertical="bottom"/>
    </xf>
    <xf borderId="4" fillId="12" fontId="16" numFmtId="0" xfId="0" applyAlignment="1" applyBorder="1" applyFill="1" applyFont="1">
      <alignment shrinkToFit="0" vertical="bottom" wrapText="1"/>
    </xf>
    <xf borderId="17" fillId="12" fontId="16" numFmtId="0" xfId="0" applyAlignment="1" applyBorder="1" applyFill="1" applyFont="1">
      <alignment shrinkToFit="0" vertical="bottom" wrapText="1"/>
    </xf>
    <xf borderId="4" fillId="12" fontId="2" numFmtId="0" xfId="0" applyAlignment="1" applyBorder="1" applyFill="1" applyFont="1">
      <alignment shrinkToFit="0" vertical="bottom" wrapText="1"/>
    </xf>
    <xf borderId="17" fillId="12" fontId="2" numFmtId="0" xfId="0" applyAlignment="1" applyBorder="1" applyFill="1" applyFont="1">
      <alignment shrinkToFit="0" vertical="bottom" wrapText="1"/>
    </xf>
    <xf borderId="4" fillId="3" fontId="5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4.25"/>
    <col customWidth="1" min="5" max="5" width="15.63"/>
  </cols>
  <sheetData>
    <row r="1">
      <c r="A1" s="1" t="s">
        <v>0</v>
      </c>
      <c r="C1" s="2"/>
      <c r="D1" s="2"/>
      <c r="E1" s="2"/>
    </row>
    <row r="2">
      <c r="A2" s="3"/>
      <c r="B2" s="4"/>
      <c r="C2" s="5"/>
      <c r="D2" s="6" t="s">
        <v>1</v>
      </c>
      <c r="E2" s="6" t="s">
        <v>0</v>
      </c>
    </row>
    <row r="3">
      <c r="A3" s="7" t="s">
        <v>2</v>
      </c>
      <c r="B3" s="8"/>
      <c r="C3" s="9"/>
      <c r="D3" s="10" t="s">
        <v>3</v>
      </c>
      <c r="E3" s="11">
        <v>1.0</v>
      </c>
    </row>
    <row r="4">
      <c r="A4" s="12"/>
      <c r="C4" s="13"/>
      <c r="D4" s="10" t="s">
        <v>4</v>
      </c>
      <c r="E4" s="14">
        <v>4.0</v>
      </c>
    </row>
    <row r="5">
      <c r="A5" s="12"/>
      <c r="C5" s="13"/>
      <c r="D5" s="10" t="s">
        <v>5</v>
      </c>
      <c r="E5" s="11">
        <v>3.0</v>
      </c>
    </row>
    <row r="6">
      <c r="A6" s="12"/>
      <c r="C6" s="13"/>
      <c r="D6" s="10" t="s">
        <v>6</v>
      </c>
      <c r="E6" s="11">
        <v>2.0</v>
      </c>
    </row>
    <row r="7">
      <c r="A7" s="12"/>
      <c r="C7" s="13"/>
      <c r="D7" s="15" t="s">
        <v>7</v>
      </c>
      <c r="E7" s="11">
        <v>2.0</v>
      </c>
    </row>
    <row r="8">
      <c r="A8" s="16"/>
      <c r="B8" s="17"/>
      <c r="C8" s="18"/>
      <c r="D8" s="19" t="s">
        <v>8</v>
      </c>
      <c r="E8" s="20">
        <f>SUM(E3:E7)</f>
        <v>12</v>
      </c>
    </row>
    <row r="9">
      <c r="A9" s="7" t="s">
        <v>9</v>
      </c>
      <c r="B9" s="8"/>
      <c r="C9" s="9"/>
      <c r="D9" s="10" t="s">
        <v>10</v>
      </c>
      <c r="E9" s="11">
        <v>4.0</v>
      </c>
    </row>
    <row r="10">
      <c r="A10" s="12"/>
      <c r="C10" s="13"/>
      <c r="D10" s="15" t="s">
        <v>11</v>
      </c>
      <c r="E10" s="11">
        <v>3.0</v>
      </c>
    </row>
    <row r="11">
      <c r="A11" s="12"/>
      <c r="C11" s="13"/>
      <c r="D11" s="10" t="s">
        <v>12</v>
      </c>
      <c r="E11" s="21">
        <v>2.0</v>
      </c>
    </row>
    <row r="12">
      <c r="A12" s="12"/>
      <c r="C12" s="13"/>
      <c r="D12" s="10" t="s">
        <v>13</v>
      </c>
      <c r="E12" s="20">
        <v>3.0</v>
      </c>
    </row>
    <row r="13">
      <c r="A13" s="12"/>
      <c r="C13" s="13"/>
      <c r="D13" s="10" t="s">
        <v>14</v>
      </c>
      <c r="E13" s="20">
        <v>3.0</v>
      </c>
    </row>
    <row r="14">
      <c r="A14" s="16"/>
      <c r="B14" s="17"/>
      <c r="C14" s="18"/>
      <c r="D14" s="19" t="s">
        <v>8</v>
      </c>
      <c r="E14" s="20">
        <f>SUM(E9:E13)</f>
        <v>15</v>
      </c>
    </row>
    <row r="15">
      <c r="A15" s="7" t="s">
        <v>15</v>
      </c>
      <c r="B15" s="8"/>
      <c r="C15" s="9"/>
      <c r="D15" s="22" t="s">
        <v>16</v>
      </c>
      <c r="E15" s="20">
        <f>SUM(E16:E20)</f>
        <v>12</v>
      </c>
    </row>
    <row r="16">
      <c r="A16" s="12"/>
      <c r="C16" s="13"/>
      <c r="D16" s="15" t="s">
        <v>17</v>
      </c>
      <c r="E16" s="11">
        <v>4.0</v>
      </c>
    </row>
    <row r="17">
      <c r="A17" s="12"/>
      <c r="C17" s="13"/>
      <c r="D17" s="15" t="s">
        <v>18</v>
      </c>
      <c r="E17" s="11">
        <v>2.0</v>
      </c>
    </row>
    <row r="18">
      <c r="A18" s="12"/>
      <c r="C18" s="13"/>
      <c r="D18" s="15" t="s">
        <v>19</v>
      </c>
      <c r="E18" s="11">
        <v>2.0</v>
      </c>
    </row>
    <row r="19">
      <c r="A19" s="12"/>
      <c r="C19" s="13"/>
      <c r="D19" s="15" t="s">
        <v>20</v>
      </c>
      <c r="E19" s="11">
        <v>1.0</v>
      </c>
    </row>
    <row r="20">
      <c r="A20" s="12"/>
      <c r="C20" s="13"/>
      <c r="D20" s="15" t="s">
        <v>21</v>
      </c>
      <c r="E20" s="11">
        <v>3.0</v>
      </c>
    </row>
    <row r="21">
      <c r="A21" s="12"/>
      <c r="C21" s="13"/>
      <c r="D21" s="23" t="s">
        <v>22</v>
      </c>
      <c r="E21" s="20">
        <f>SUM(E22:E24)</f>
        <v>4</v>
      </c>
    </row>
    <row r="22">
      <c r="A22" s="12"/>
      <c r="C22" s="13"/>
      <c r="D22" s="15" t="s">
        <v>23</v>
      </c>
      <c r="E22" s="11">
        <v>2.0</v>
      </c>
    </row>
    <row r="23">
      <c r="A23" s="12"/>
      <c r="C23" s="13"/>
      <c r="D23" s="15" t="s">
        <v>24</v>
      </c>
      <c r="E23" s="11">
        <v>1.0</v>
      </c>
    </row>
    <row r="24">
      <c r="A24" s="12"/>
      <c r="C24" s="13"/>
      <c r="D24" s="15" t="s">
        <v>25</v>
      </c>
      <c r="E24" s="11">
        <v>1.0</v>
      </c>
    </row>
    <row r="25">
      <c r="A25" s="12"/>
      <c r="C25" s="13"/>
      <c r="D25" s="23" t="s">
        <v>26</v>
      </c>
      <c r="E25" s="20">
        <v>0.5</v>
      </c>
    </row>
    <row r="26">
      <c r="A26" s="12"/>
      <c r="C26" s="13"/>
      <c r="D26" s="15" t="s">
        <v>27</v>
      </c>
      <c r="E26" s="24"/>
    </row>
    <row r="27">
      <c r="A27" s="12"/>
      <c r="C27" s="13"/>
      <c r="D27" s="23" t="s">
        <v>28</v>
      </c>
      <c r="E27" s="20">
        <v>1.0</v>
      </c>
    </row>
    <row r="28">
      <c r="A28" s="12"/>
      <c r="C28" s="13"/>
      <c r="D28" s="23" t="s">
        <v>29</v>
      </c>
      <c r="E28" s="20">
        <v>2.0</v>
      </c>
    </row>
    <row r="29">
      <c r="A29" s="16"/>
      <c r="B29" s="17"/>
      <c r="C29" s="18"/>
      <c r="D29" s="19" t="s">
        <v>8</v>
      </c>
      <c r="E29" s="20">
        <f>SUM(E15+E21+E25+E27+E28)</f>
        <v>19.5</v>
      </c>
    </row>
    <row r="30">
      <c r="A30" s="25" t="s">
        <v>30</v>
      </c>
      <c r="B30" s="4"/>
      <c r="C30" s="5"/>
      <c r="D30" s="10" t="s">
        <v>31</v>
      </c>
      <c r="E30" s="11">
        <v>2.0</v>
      </c>
    </row>
    <row r="31">
      <c r="A31" s="26"/>
      <c r="B31" s="4"/>
      <c r="C31" s="5"/>
      <c r="D31" s="10" t="s">
        <v>32</v>
      </c>
      <c r="E31" s="11">
        <v>1.5</v>
      </c>
    </row>
    <row r="32">
      <c r="A32" s="25" t="s">
        <v>33</v>
      </c>
      <c r="B32" s="4"/>
      <c r="C32" s="5"/>
      <c r="D32" s="10" t="s">
        <v>34</v>
      </c>
      <c r="E32" s="11">
        <v>2.0</v>
      </c>
    </row>
    <row r="33">
      <c r="A33" s="7" t="s">
        <v>35</v>
      </c>
      <c r="B33" s="8"/>
      <c r="C33" s="9"/>
      <c r="D33" s="19" t="s">
        <v>8</v>
      </c>
      <c r="E33" s="20">
        <f>SUM(E34:E37)</f>
        <v>13</v>
      </c>
    </row>
    <row r="34">
      <c r="A34" s="12"/>
      <c r="C34" s="13"/>
      <c r="D34" s="10" t="s">
        <v>36</v>
      </c>
      <c r="E34" s="11">
        <v>2.0</v>
      </c>
    </row>
    <row r="35">
      <c r="A35" s="12"/>
      <c r="C35" s="13"/>
      <c r="D35" s="10" t="s">
        <v>37</v>
      </c>
      <c r="E35" s="11">
        <v>2.0</v>
      </c>
    </row>
    <row r="36">
      <c r="A36" s="12"/>
      <c r="C36" s="13"/>
      <c r="D36" s="10" t="s">
        <v>38</v>
      </c>
      <c r="E36" s="11">
        <v>6.0</v>
      </c>
    </row>
    <row r="37">
      <c r="A37" s="16"/>
      <c r="B37" s="17"/>
      <c r="C37" s="18"/>
      <c r="D37" s="10" t="s">
        <v>39</v>
      </c>
      <c r="E37" s="21">
        <v>3.0</v>
      </c>
    </row>
    <row r="38">
      <c r="A38" s="3"/>
      <c r="B38" s="4"/>
      <c r="C38" s="5"/>
      <c r="D38" s="19" t="s">
        <v>40</v>
      </c>
      <c r="E38" s="20">
        <f>SUM(E30:E32)+E29+E14+E8+E33</f>
        <v>65</v>
      </c>
    </row>
  </sheetData>
  <mergeCells count="10">
    <mergeCell ref="A32:C32"/>
    <mergeCell ref="A33:C37"/>
    <mergeCell ref="A38:C38"/>
    <mergeCell ref="A1:B1"/>
    <mergeCell ref="A2:C2"/>
    <mergeCell ref="A3:C8"/>
    <mergeCell ref="A9:C14"/>
    <mergeCell ref="A15:C29"/>
    <mergeCell ref="A30:C30"/>
    <mergeCell ref="A31:C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70.63"/>
  </cols>
  <sheetData>
    <row r="1">
      <c r="A1" s="27" t="s">
        <v>41</v>
      </c>
      <c r="B1" s="27"/>
      <c r="C1" s="27"/>
      <c r="D1" s="27"/>
    </row>
    <row r="2">
      <c r="A2" s="28" t="s">
        <v>0</v>
      </c>
      <c r="B2" s="2"/>
      <c r="C2" s="2"/>
      <c r="D2" s="2"/>
    </row>
    <row r="3">
      <c r="A3" s="2"/>
      <c r="B3" s="29" t="s">
        <v>1</v>
      </c>
      <c r="C3" s="29" t="s">
        <v>42</v>
      </c>
      <c r="D3" s="30"/>
    </row>
    <row r="4">
      <c r="A4" s="31" t="s">
        <v>43</v>
      </c>
      <c r="B4" s="32" t="s">
        <v>44</v>
      </c>
      <c r="C4" s="33"/>
      <c r="D4" s="33"/>
    </row>
    <row r="5">
      <c r="A5" s="34"/>
      <c r="B5" s="35" t="s">
        <v>45</v>
      </c>
      <c r="C5" s="14">
        <v>1.0</v>
      </c>
      <c r="D5" s="36"/>
    </row>
    <row r="6">
      <c r="A6" s="34"/>
      <c r="B6" s="35" t="s">
        <v>46</v>
      </c>
      <c r="C6" s="14">
        <v>1.0</v>
      </c>
      <c r="D6" s="36"/>
    </row>
    <row r="7">
      <c r="A7" s="34"/>
      <c r="B7" s="35" t="s">
        <v>47</v>
      </c>
      <c r="C7" s="14">
        <v>2.0</v>
      </c>
      <c r="D7" s="36"/>
    </row>
    <row r="8">
      <c r="A8" s="34"/>
      <c r="B8" s="35" t="s">
        <v>48</v>
      </c>
      <c r="C8" s="14">
        <v>2.0</v>
      </c>
      <c r="D8" s="36"/>
    </row>
    <row r="9">
      <c r="A9" s="34"/>
      <c r="B9" s="35" t="s">
        <v>49</v>
      </c>
      <c r="C9" s="14">
        <v>2.0</v>
      </c>
      <c r="D9" s="36"/>
    </row>
    <row r="10">
      <c r="A10" s="34"/>
      <c r="B10" s="35" t="s">
        <v>50</v>
      </c>
      <c r="C10" s="14">
        <v>2.0</v>
      </c>
      <c r="D10" s="36"/>
    </row>
    <row r="11">
      <c r="A11" s="2"/>
      <c r="B11" s="29" t="s">
        <v>51</v>
      </c>
      <c r="C11" s="29">
        <v>10.0</v>
      </c>
      <c r="D11" s="30"/>
    </row>
    <row r="12">
      <c r="A12" s="31" t="s">
        <v>52</v>
      </c>
      <c r="B12" s="32" t="s">
        <v>53</v>
      </c>
      <c r="C12" s="33"/>
      <c r="D12" s="33"/>
    </row>
    <row r="13">
      <c r="A13" s="34"/>
      <c r="B13" s="35" t="s">
        <v>54</v>
      </c>
      <c r="C13" s="14">
        <v>2.0</v>
      </c>
      <c r="D13" s="36"/>
    </row>
    <row r="14">
      <c r="A14" s="34"/>
      <c r="B14" s="35" t="s">
        <v>55</v>
      </c>
      <c r="C14" s="14">
        <v>2.0</v>
      </c>
      <c r="D14" s="36"/>
    </row>
    <row r="15">
      <c r="A15" s="34"/>
      <c r="B15" s="35" t="s">
        <v>56</v>
      </c>
      <c r="C15" s="14">
        <v>2.0</v>
      </c>
      <c r="D15" s="36"/>
    </row>
    <row r="16">
      <c r="A16" s="34"/>
      <c r="B16" s="35" t="s">
        <v>57</v>
      </c>
      <c r="C16" s="14">
        <v>2.0</v>
      </c>
      <c r="D16" s="36"/>
    </row>
    <row r="17">
      <c r="A17" s="34"/>
      <c r="B17" s="35" t="s">
        <v>58</v>
      </c>
      <c r="C17" s="14">
        <v>2.0</v>
      </c>
      <c r="D17" s="36"/>
    </row>
    <row r="18">
      <c r="A18" s="2"/>
      <c r="B18" s="29" t="s">
        <v>51</v>
      </c>
      <c r="C18" s="29">
        <v>10.0</v>
      </c>
      <c r="D18" s="30"/>
    </row>
    <row r="19">
      <c r="A19" s="31" t="s">
        <v>59</v>
      </c>
      <c r="B19" s="32" t="s">
        <v>60</v>
      </c>
      <c r="C19" s="33"/>
      <c r="D19" s="33"/>
    </row>
    <row r="20">
      <c r="A20" s="34"/>
      <c r="B20" s="35" t="s">
        <v>61</v>
      </c>
      <c r="C20" s="14">
        <v>2.0</v>
      </c>
      <c r="D20" s="36"/>
    </row>
    <row r="21">
      <c r="A21" s="34"/>
      <c r="B21" s="35" t="s">
        <v>62</v>
      </c>
      <c r="C21" s="14">
        <v>2.0</v>
      </c>
      <c r="D21" s="36"/>
    </row>
    <row r="22">
      <c r="A22" s="34"/>
      <c r="B22" s="35" t="s">
        <v>63</v>
      </c>
      <c r="C22" s="14">
        <v>2.0</v>
      </c>
      <c r="D22" s="36"/>
    </row>
    <row r="23">
      <c r="A23" s="34"/>
      <c r="B23" s="32" t="s">
        <v>64</v>
      </c>
      <c r="C23" s="33"/>
      <c r="D23" s="33"/>
    </row>
    <row r="24">
      <c r="A24" s="34"/>
      <c r="B24" s="37" t="s">
        <v>65</v>
      </c>
      <c r="C24" s="38"/>
      <c r="D24" s="38"/>
    </row>
    <row r="25">
      <c r="A25" s="34"/>
      <c r="B25" s="35" t="s">
        <v>66</v>
      </c>
      <c r="C25" s="14">
        <v>2.0</v>
      </c>
      <c r="D25" s="36"/>
    </row>
    <row r="26">
      <c r="A26" s="34"/>
      <c r="B26" s="39" t="s">
        <v>67</v>
      </c>
      <c r="C26" s="40">
        <v>1.0</v>
      </c>
      <c r="D26" s="41"/>
    </row>
    <row r="27">
      <c r="A27" s="34"/>
      <c r="B27" s="42" t="s">
        <v>68</v>
      </c>
      <c r="C27" s="43">
        <v>1.0</v>
      </c>
      <c r="D27" s="44"/>
    </row>
    <row r="28">
      <c r="A28" s="2"/>
      <c r="B28" s="29" t="s">
        <v>51</v>
      </c>
      <c r="C28" s="29">
        <v>10.0</v>
      </c>
      <c r="D28" s="30"/>
    </row>
    <row r="29">
      <c r="A29" s="2"/>
      <c r="B29" s="2"/>
      <c r="C29" s="2"/>
      <c r="D29" s="2"/>
    </row>
    <row r="30">
      <c r="A30" s="31" t="s">
        <v>69</v>
      </c>
      <c r="B30" s="32" t="s">
        <v>70</v>
      </c>
      <c r="C30" s="33"/>
      <c r="D30" s="33"/>
    </row>
    <row r="31">
      <c r="A31" s="34"/>
      <c r="B31" s="37" t="s">
        <v>65</v>
      </c>
      <c r="C31" s="38"/>
      <c r="D31" s="38"/>
    </row>
    <row r="32">
      <c r="A32" s="34"/>
      <c r="B32" s="35" t="s">
        <v>71</v>
      </c>
      <c r="C32" s="14">
        <v>2.0</v>
      </c>
      <c r="D32" s="36"/>
    </row>
    <row r="33">
      <c r="A33" s="34"/>
      <c r="B33" s="35" t="s">
        <v>72</v>
      </c>
      <c r="C33" s="14">
        <v>1.0</v>
      </c>
      <c r="D33" s="36"/>
    </row>
    <row r="34">
      <c r="A34" s="34"/>
      <c r="B34" s="35" t="s">
        <v>73</v>
      </c>
      <c r="C34" s="14">
        <v>1.0</v>
      </c>
      <c r="D34" s="36"/>
    </row>
    <row r="35">
      <c r="A35" s="34"/>
      <c r="B35" s="35" t="s">
        <v>74</v>
      </c>
      <c r="C35" s="14">
        <v>1.0</v>
      </c>
      <c r="D35" s="36"/>
    </row>
    <row r="36">
      <c r="A36" s="34"/>
      <c r="B36" s="37" t="s">
        <v>75</v>
      </c>
      <c r="C36" s="38"/>
      <c r="D36" s="38"/>
    </row>
    <row r="37">
      <c r="A37" s="34"/>
      <c r="B37" s="35" t="s">
        <v>76</v>
      </c>
      <c r="C37" s="14" t="s">
        <v>77</v>
      </c>
      <c r="D37" s="36"/>
    </row>
    <row r="38">
      <c r="A38" s="34"/>
      <c r="B38" s="35" t="s">
        <v>78</v>
      </c>
      <c r="C38" s="14" t="s">
        <v>77</v>
      </c>
      <c r="D38" s="36"/>
    </row>
    <row r="39">
      <c r="A39" s="34"/>
      <c r="B39" s="39" t="s">
        <v>67</v>
      </c>
      <c r="C39" s="40">
        <v>1.0</v>
      </c>
      <c r="D39" s="41"/>
    </row>
    <row r="40">
      <c r="A40" s="2"/>
      <c r="B40" s="42" t="s">
        <v>68</v>
      </c>
      <c r="C40" s="43">
        <v>1.0</v>
      </c>
      <c r="D40" s="44"/>
    </row>
    <row r="41">
      <c r="A41" s="2"/>
      <c r="B41" s="29" t="s">
        <v>51</v>
      </c>
      <c r="C41" s="29">
        <v>8.0</v>
      </c>
      <c r="D41" s="30"/>
    </row>
    <row r="42">
      <c r="A42" s="2"/>
      <c r="B42" s="2"/>
      <c r="C42" s="2"/>
      <c r="D42" s="2"/>
    </row>
    <row r="43">
      <c r="A43" s="31" t="s">
        <v>79</v>
      </c>
      <c r="B43" s="32" t="s">
        <v>80</v>
      </c>
      <c r="C43" s="33"/>
      <c r="D43" s="33"/>
    </row>
    <row r="44">
      <c r="A44" s="34"/>
      <c r="B44" s="37" t="s">
        <v>65</v>
      </c>
      <c r="C44" s="38"/>
      <c r="D44" s="38"/>
    </row>
    <row r="45">
      <c r="A45" s="34"/>
      <c r="B45" s="35" t="s">
        <v>81</v>
      </c>
      <c r="C45" s="14">
        <v>1.0</v>
      </c>
      <c r="D45" s="36"/>
    </row>
    <row r="46">
      <c r="A46" s="34"/>
      <c r="B46" s="35" t="s">
        <v>82</v>
      </c>
      <c r="C46" s="14">
        <v>1.0</v>
      </c>
      <c r="D46" s="36"/>
    </row>
    <row r="47">
      <c r="A47" s="34"/>
      <c r="B47" s="35" t="s">
        <v>83</v>
      </c>
      <c r="C47" s="14">
        <v>1.0</v>
      </c>
      <c r="D47" s="36"/>
    </row>
    <row r="48">
      <c r="A48" s="34"/>
      <c r="B48" s="35" t="s">
        <v>84</v>
      </c>
      <c r="C48" s="14">
        <v>1.0</v>
      </c>
      <c r="D48" s="36"/>
    </row>
    <row r="49">
      <c r="A49" s="34"/>
      <c r="B49" s="35" t="s">
        <v>85</v>
      </c>
      <c r="C49" s="14">
        <v>2.0</v>
      </c>
      <c r="D49" s="36"/>
    </row>
    <row r="50">
      <c r="A50" s="34"/>
      <c r="B50" s="39" t="s">
        <v>67</v>
      </c>
      <c r="C50" s="40">
        <v>1.0</v>
      </c>
      <c r="D50" s="41"/>
    </row>
    <row r="51">
      <c r="A51" s="2"/>
      <c r="B51" s="42" t="s">
        <v>68</v>
      </c>
      <c r="C51" s="43">
        <v>1.0</v>
      </c>
      <c r="D51" s="44"/>
    </row>
    <row r="52">
      <c r="A52" s="2"/>
      <c r="B52" s="29" t="s">
        <v>51</v>
      </c>
      <c r="C52" s="29">
        <v>8.0</v>
      </c>
      <c r="D52" s="30"/>
    </row>
    <row r="53">
      <c r="A53" s="2"/>
      <c r="B53" s="2"/>
      <c r="C53" s="2"/>
      <c r="D53" s="2"/>
    </row>
    <row r="54">
      <c r="A54" s="31" t="s">
        <v>86</v>
      </c>
      <c r="B54" s="32" t="s">
        <v>87</v>
      </c>
      <c r="C54" s="33"/>
      <c r="D54" s="33"/>
    </row>
    <row r="55">
      <c r="A55" s="34"/>
      <c r="B55" s="37" t="s">
        <v>88</v>
      </c>
      <c r="C55" s="38"/>
      <c r="D55" s="38"/>
    </row>
    <row r="56">
      <c r="A56" s="34"/>
      <c r="B56" s="35" t="s">
        <v>89</v>
      </c>
      <c r="C56" s="14">
        <v>3.0</v>
      </c>
      <c r="D56" s="36"/>
    </row>
    <row r="57">
      <c r="A57" s="34"/>
      <c r="B57" s="35" t="s">
        <v>90</v>
      </c>
      <c r="C57" s="14">
        <v>3.0</v>
      </c>
      <c r="D57" s="36"/>
    </row>
    <row r="58">
      <c r="A58" s="34"/>
      <c r="B58" s="39" t="s">
        <v>67</v>
      </c>
      <c r="C58" s="40">
        <v>1.0</v>
      </c>
      <c r="D58" s="41"/>
    </row>
    <row r="59">
      <c r="A59" s="2"/>
      <c r="B59" s="42" t="s">
        <v>68</v>
      </c>
      <c r="C59" s="43">
        <v>1.0</v>
      </c>
      <c r="D59" s="44"/>
    </row>
    <row r="60">
      <c r="A60" s="2"/>
      <c r="B60" s="29" t="s">
        <v>51</v>
      </c>
      <c r="C60" s="29">
        <v>8.0</v>
      </c>
      <c r="D60" s="30"/>
    </row>
    <row r="61">
      <c r="A61" s="2"/>
      <c r="B61" s="2"/>
      <c r="C61" s="2"/>
      <c r="D61" s="2"/>
    </row>
    <row r="62">
      <c r="A62" s="31" t="s">
        <v>91</v>
      </c>
      <c r="B62" s="32" t="s">
        <v>92</v>
      </c>
      <c r="C62" s="33"/>
      <c r="D62" s="33"/>
    </row>
    <row r="63">
      <c r="A63" s="34"/>
      <c r="B63" s="37" t="s">
        <v>65</v>
      </c>
      <c r="C63" s="38"/>
      <c r="D63" s="38"/>
    </row>
    <row r="64">
      <c r="A64" s="34"/>
      <c r="B64" s="35" t="s">
        <v>93</v>
      </c>
      <c r="C64" s="14">
        <v>3.0</v>
      </c>
      <c r="D64" s="36"/>
    </row>
    <row r="65">
      <c r="A65" s="34"/>
      <c r="B65" s="35" t="s">
        <v>94</v>
      </c>
      <c r="C65" s="14">
        <v>1.0</v>
      </c>
      <c r="D65" s="36"/>
    </row>
    <row r="66">
      <c r="A66" s="34"/>
      <c r="B66" s="35" t="s">
        <v>95</v>
      </c>
      <c r="C66" s="14">
        <v>1.0</v>
      </c>
      <c r="D66" s="36"/>
    </row>
    <row r="67">
      <c r="A67" s="34"/>
      <c r="B67" s="37" t="s">
        <v>75</v>
      </c>
      <c r="C67" s="38"/>
      <c r="D67" s="38"/>
    </row>
    <row r="68">
      <c r="A68" s="34"/>
      <c r="B68" s="35" t="s">
        <v>96</v>
      </c>
      <c r="C68" s="14" t="s">
        <v>77</v>
      </c>
      <c r="D68" s="36"/>
    </row>
    <row r="69">
      <c r="A69" s="34"/>
      <c r="B69" s="35" t="s">
        <v>95</v>
      </c>
      <c r="C69" s="14" t="s">
        <v>77</v>
      </c>
      <c r="D69" s="36"/>
    </row>
    <row r="70">
      <c r="A70" s="34"/>
      <c r="B70" s="39" t="s">
        <v>67</v>
      </c>
      <c r="C70" s="40">
        <v>1.0</v>
      </c>
      <c r="D70" s="41"/>
    </row>
    <row r="71">
      <c r="A71" s="2"/>
      <c r="B71" s="45" t="s">
        <v>68</v>
      </c>
      <c r="C71" s="46">
        <v>1.0</v>
      </c>
      <c r="D71" s="47"/>
    </row>
    <row r="72">
      <c r="A72" s="2"/>
      <c r="B72" s="29" t="s">
        <v>51</v>
      </c>
      <c r="C72" s="48">
        <v>8.0</v>
      </c>
      <c r="D72" s="49"/>
    </row>
    <row r="73">
      <c r="A73" s="2"/>
      <c r="B73" s="2"/>
      <c r="C73" s="2"/>
      <c r="D73" s="2"/>
    </row>
    <row r="74">
      <c r="A74" s="31" t="s">
        <v>97</v>
      </c>
      <c r="B74" s="32" t="s">
        <v>98</v>
      </c>
      <c r="C74" s="33"/>
      <c r="D74" s="33"/>
    </row>
    <row r="75">
      <c r="A75" s="34"/>
      <c r="B75" s="14" t="s">
        <v>65</v>
      </c>
      <c r="C75" s="36"/>
      <c r="D75" s="36"/>
    </row>
    <row r="76">
      <c r="A76" s="34"/>
      <c r="B76" s="35" t="s">
        <v>99</v>
      </c>
      <c r="C76" s="14">
        <v>2.0</v>
      </c>
      <c r="D76" s="36"/>
    </row>
    <row r="77">
      <c r="A77" s="34"/>
      <c r="B77" s="35" t="s">
        <v>100</v>
      </c>
      <c r="C77" s="14">
        <v>1.0</v>
      </c>
      <c r="D77" s="36"/>
    </row>
    <row r="78">
      <c r="A78" s="34"/>
      <c r="B78" s="35" t="s">
        <v>101</v>
      </c>
      <c r="C78" s="14">
        <v>1.0</v>
      </c>
      <c r="D78" s="36"/>
    </row>
    <row r="79">
      <c r="A79" s="34"/>
      <c r="B79" s="35" t="s">
        <v>102</v>
      </c>
      <c r="C79" s="14">
        <v>1.0</v>
      </c>
      <c r="D79" s="36"/>
    </row>
    <row r="80">
      <c r="A80" s="34"/>
      <c r="B80" s="35" t="s">
        <v>103</v>
      </c>
      <c r="C80" s="14" t="s">
        <v>77</v>
      </c>
      <c r="D80" s="36"/>
    </row>
    <row r="81">
      <c r="A81" s="34"/>
      <c r="B81" s="35" t="s">
        <v>104</v>
      </c>
      <c r="C81" s="14" t="s">
        <v>77</v>
      </c>
      <c r="D81" s="36"/>
    </row>
    <row r="82">
      <c r="A82" s="34"/>
      <c r="B82" s="39" t="s">
        <v>67</v>
      </c>
      <c r="C82" s="40">
        <v>1.0</v>
      </c>
      <c r="D82" s="41"/>
    </row>
    <row r="83">
      <c r="A83" s="2"/>
      <c r="B83" s="42" t="s">
        <v>68</v>
      </c>
      <c r="C83" s="43">
        <v>1.0</v>
      </c>
      <c r="D83" s="44"/>
    </row>
    <row r="84">
      <c r="A84" s="2"/>
      <c r="B84" s="29" t="s">
        <v>51</v>
      </c>
      <c r="C84" s="29">
        <v>8.0</v>
      </c>
      <c r="D84" s="30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50" t="s">
        <v>105</v>
      </c>
      <c r="C87" s="51">
        <v>70.0</v>
      </c>
      <c r="D87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0"/>
    <col customWidth="1" min="4" max="4" width="42.25"/>
  </cols>
  <sheetData>
    <row r="1">
      <c r="A1" s="3"/>
      <c r="B1" s="4"/>
      <c r="C1" s="5"/>
      <c r="D1" s="6" t="s">
        <v>1</v>
      </c>
      <c r="E1" s="6" t="s">
        <v>0</v>
      </c>
    </row>
    <row r="2">
      <c r="A2" s="7" t="s">
        <v>2</v>
      </c>
      <c r="B2" s="8"/>
      <c r="C2" s="9"/>
      <c r="D2" s="22" t="s">
        <v>106</v>
      </c>
      <c r="E2" s="20">
        <v>4.0</v>
      </c>
    </row>
    <row r="3">
      <c r="A3" s="12"/>
      <c r="C3" s="13"/>
      <c r="D3" s="22" t="s">
        <v>107</v>
      </c>
      <c r="E3" s="20">
        <v>1.0</v>
      </c>
    </row>
    <row r="4">
      <c r="A4" s="12"/>
      <c r="C4" s="13"/>
      <c r="D4" s="22" t="s">
        <v>5</v>
      </c>
      <c r="E4" s="20">
        <v>1.0</v>
      </c>
    </row>
    <row r="5">
      <c r="A5" s="12"/>
      <c r="C5" s="13"/>
      <c r="D5" s="22" t="s">
        <v>108</v>
      </c>
      <c r="E5" s="24"/>
    </row>
    <row r="6">
      <c r="A6" s="12"/>
      <c r="C6" s="13"/>
      <c r="D6" s="53" t="s">
        <v>109</v>
      </c>
      <c r="E6" s="11">
        <v>4.0</v>
      </c>
    </row>
    <row r="7">
      <c r="A7" s="12"/>
      <c r="C7" s="13"/>
      <c r="D7" s="22" t="s">
        <v>110</v>
      </c>
      <c r="E7" s="24"/>
    </row>
    <row r="8">
      <c r="A8" s="12"/>
      <c r="C8" s="13"/>
      <c r="D8" s="53" t="s">
        <v>111</v>
      </c>
      <c r="E8" s="11">
        <v>4.0</v>
      </c>
    </row>
    <row r="9">
      <c r="A9" s="16"/>
      <c r="B9" s="17"/>
      <c r="C9" s="18"/>
      <c r="D9" s="20" t="s">
        <v>8</v>
      </c>
      <c r="E9" s="20">
        <f>SUM(E2:E8)</f>
        <v>14</v>
      </c>
    </row>
    <row r="10">
      <c r="A10" s="54" t="s">
        <v>15</v>
      </c>
      <c r="B10" s="8"/>
      <c r="C10" s="9"/>
      <c r="D10" s="55" t="s">
        <v>112</v>
      </c>
      <c r="E10" s="24"/>
    </row>
    <row r="11">
      <c r="A11" s="12"/>
      <c r="C11" s="13"/>
      <c r="D11" s="53" t="s">
        <v>113</v>
      </c>
      <c r="E11" s="11">
        <v>3.0</v>
      </c>
    </row>
    <row r="12">
      <c r="A12" s="12"/>
      <c r="C12" s="13"/>
      <c r="D12" s="53" t="s">
        <v>114</v>
      </c>
      <c r="E12" s="11">
        <v>2.0</v>
      </c>
    </row>
    <row r="13">
      <c r="A13" s="12"/>
      <c r="C13" s="13"/>
      <c r="D13" s="53" t="s">
        <v>115</v>
      </c>
      <c r="E13" s="11">
        <v>3.0</v>
      </c>
    </row>
    <row r="14">
      <c r="A14" s="12"/>
      <c r="C14" s="13"/>
      <c r="D14" s="2" t="s">
        <v>116</v>
      </c>
      <c r="E14" s="11">
        <v>1.0</v>
      </c>
    </row>
    <row r="15">
      <c r="A15" s="12"/>
      <c r="C15" s="13"/>
      <c r="D15" s="55" t="s">
        <v>117</v>
      </c>
      <c r="E15" s="24"/>
    </row>
    <row r="16">
      <c r="A16" s="12"/>
      <c r="C16" s="13"/>
      <c r="D16" s="53" t="s">
        <v>118</v>
      </c>
      <c r="E16" s="11">
        <v>1.0</v>
      </c>
    </row>
    <row r="17">
      <c r="A17" s="12"/>
      <c r="C17" s="13"/>
      <c r="D17" s="53" t="s">
        <v>119</v>
      </c>
      <c r="E17" s="11">
        <v>1.0</v>
      </c>
    </row>
    <row r="18">
      <c r="A18" s="12"/>
      <c r="C18" s="13"/>
      <c r="D18" s="53" t="s">
        <v>120</v>
      </c>
      <c r="E18" s="11">
        <v>2.0</v>
      </c>
    </row>
    <row r="19">
      <c r="A19" s="12"/>
      <c r="C19" s="13"/>
      <c r="D19" s="53" t="s">
        <v>121</v>
      </c>
      <c r="E19" s="11">
        <v>1.0</v>
      </c>
    </row>
    <row r="20">
      <c r="A20" s="12"/>
      <c r="C20" s="13"/>
      <c r="D20" s="53" t="s">
        <v>122</v>
      </c>
      <c r="E20" s="11">
        <v>2.0</v>
      </c>
    </row>
    <row r="21">
      <c r="A21" s="12"/>
      <c r="C21" s="13"/>
      <c r="D21" s="55" t="s">
        <v>123</v>
      </c>
      <c r="E21" s="24"/>
    </row>
    <row r="22">
      <c r="A22" s="12"/>
      <c r="C22" s="13"/>
      <c r="D22" s="53" t="s">
        <v>124</v>
      </c>
      <c r="E22" s="11">
        <v>1.0</v>
      </c>
    </row>
    <row r="23">
      <c r="A23" s="12"/>
      <c r="C23" s="13"/>
      <c r="D23" s="53" t="s">
        <v>125</v>
      </c>
      <c r="E23" s="11">
        <v>2.0</v>
      </c>
    </row>
    <row r="24">
      <c r="A24" s="12"/>
      <c r="C24" s="13"/>
      <c r="D24" s="53" t="s">
        <v>126</v>
      </c>
      <c r="E24" s="11">
        <v>2.0</v>
      </c>
    </row>
    <row r="25">
      <c r="A25" s="12"/>
      <c r="C25" s="13"/>
      <c r="D25" s="53" t="s">
        <v>127</v>
      </c>
      <c r="E25" s="11">
        <v>2.0</v>
      </c>
    </row>
    <row r="26">
      <c r="A26" s="12"/>
      <c r="C26" s="13"/>
      <c r="D26" s="53" t="s">
        <v>128</v>
      </c>
      <c r="E26" s="11">
        <v>3.0</v>
      </c>
    </row>
    <row r="27">
      <c r="A27" s="12"/>
      <c r="C27" s="13"/>
      <c r="D27" s="56" t="s">
        <v>129</v>
      </c>
      <c r="E27" s="11">
        <v>2.0</v>
      </c>
    </row>
    <row r="28">
      <c r="A28" s="12"/>
      <c r="C28" s="13"/>
      <c r="D28" s="57" t="s">
        <v>130</v>
      </c>
      <c r="E28" s="11">
        <v>2.0</v>
      </c>
    </row>
    <row r="29">
      <c r="A29" s="12"/>
      <c r="C29" s="13"/>
      <c r="D29" s="55" t="s">
        <v>131</v>
      </c>
      <c r="E29" s="24"/>
    </row>
    <row r="30">
      <c r="A30" s="12"/>
      <c r="C30" s="13"/>
      <c r="D30" s="53" t="s">
        <v>132</v>
      </c>
      <c r="E30" s="11">
        <v>2.0</v>
      </c>
    </row>
    <row r="31">
      <c r="A31" s="12"/>
      <c r="C31" s="13"/>
      <c r="D31" s="53" t="s">
        <v>133</v>
      </c>
      <c r="E31" s="11">
        <v>1.0</v>
      </c>
    </row>
    <row r="32">
      <c r="A32" s="12"/>
      <c r="C32" s="13"/>
      <c r="D32" s="53" t="s">
        <v>134</v>
      </c>
      <c r="E32" s="11">
        <v>1.0</v>
      </c>
    </row>
    <row r="33">
      <c r="A33" s="12"/>
      <c r="C33" s="13"/>
      <c r="D33" s="53" t="s">
        <v>135</v>
      </c>
      <c r="E33" s="11">
        <v>1.0</v>
      </c>
    </row>
    <row r="34">
      <c r="A34" s="12"/>
      <c r="C34" s="13"/>
      <c r="D34" s="55" t="s">
        <v>136</v>
      </c>
      <c r="E34" s="24"/>
    </row>
    <row r="35">
      <c r="A35" s="12"/>
      <c r="C35" s="13"/>
      <c r="D35" s="53" t="s">
        <v>137</v>
      </c>
      <c r="E35" s="11">
        <v>2.0</v>
      </c>
    </row>
    <row r="36">
      <c r="A36" s="12"/>
      <c r="C36" s="13"/>
      <c r="D36" s="2" t="s">
        <v>138</v>
      </c>
      <c r="E36" s="11">
        <v>1.0</v>
      </c>
    </row>
    <row r="37">
      <c r="A37" s="12"/>
      <c r="C37" s="13"/>
      <c r="D37" s="53" t="s">
        <v>139</v>
      </c>
      <c r="E37" s="11">
        <v>2.0</v>
      </c>
    </row>
    <row r="38">
      <c r="A38" s="12"/>
      <c r="C38" s="13"/>
      <c r="D38" s="53" t="s">
        <v>140</v>
      </c>
      <c r="E38" s="11">
        <v>2.0</v>
      </c>
    </row>
    <row r="39">
      <c r="A39" s="12"/>
      <c r="C39" s="13"/>
      <c r="D39" s="53" t="s">
        <v>141</v>
      </c>
      <c r="E39" s="11">
        <v>2.0</v>
      </c>
    </row>
    <row r="40">
      <c r="A40" s="16"/>
      <c r="B40" s="17"/>
      <c r="C40" s="18"/>
      <c r="D40" s="58" t="s">
        <v>8</v>
      </c>
      <c r="E40" s="20">
        <f>SUM(E10:E39)</f>
        <v>44</v>
      </c>
    </row>
    <row r="41">
      <c r="A41" s="25" t="s">
        <v>30</v>
      </c>
      <c r="B41" s="4"/>
      <c r="C41" s="5"/>
      <c r="D41" s="53" t="s">
        <v>31</v>
      </c>
      <c r="E41" s="11">
        <v>2.0</v>
      </c>
    </row>
    <row r="42">
      <c r="A42" s="25" t="s">
        <v>142</v>
      </c>
      <c r="B42" s="4"/>
      <c r="C42" s="5"/>
      <c r="D42" s="53" t="s">
        <v>143</v>
      </c>
      <c r="E42" s="11">
        <v>1.0</v>
      </c>
    </row>
    <row r="43">
      <c r="A43" s="7" t="s">
        <v>144</v>
      </c>
      <c r="B43" s="8"/>
      <c r="C43" s="9"/>
      <c r="D43" s="53" t="s">
        <v>145</v>
      </c>
      <c r="E43" s="11">
        <v>1.0</v>
      </c>
    </row>
    <row r="44">
      <c r="A44" s="16"/>
      <c r="B44" s="17"/>
      <c r="C44" s="18"/>
      <c r="D44" s="53" t="s">
        <v>146</v>
      </c>
      <c r="E44" s="11">
        <v>1.0</v>
      </c>
    </row>
    <row r="45">
      <c r="A45" s="25" t="s">
        <v>33</v>
      </c>
      <c r="B45" s="4"/>
      <c r="C45" s="5"/>
      <c r="D45" s="53" t="s">
        <v>33</v>
      </c>
      <c r="E45" s="11">
        <v>2.0</v>
      </c>
    </row>
    <row r="46">
      <c r="A46" s="2"/>
      <c r="B46" s="2"/>
      <c r="C46" s="2"/>
      <c r="D46" s="2"/>
      <c r="E46" s="59">
        <f>SUM(E41:E45)+E40+E9</f>
        <v>65</v>
      </c>
    </row>
  </sheetData>
  <mergeCells count="7">
    <mergeCell ref="A1:C1"/>
    <mergeCell ref="A2:C9"/>
    <mergeCell ref="A10:C40"/>
    <mergeCell ref="A41:C41"/>
    <mergeCell ref="A42:C42"/>
    <mergeCell ref="A43:C44"/>
    <mergeCell ref="A45:C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9.75"/>
  </cols>
  <sheetData>
    <row r="1">
      <c r="A1" s="60" t="s">
        <v>147</v>
      </c>
      <c r="B1" s="60" t="s">
        <v>1</v>
      </c>
      <c r="C1" s="60" t="s">
        <v>0</v>
      </c>
    </row>
    <row r="2">
      <c r="A2" s="61" t="s">
        <v>2</v>
      </c>
      <c r="B2" s="62" t="s">
        <v>148</v>
      </c>
      <c r="C2" s="63">
        <v>2.0</v>
      </c>
    </row>
    <row r="3">
      <c r="A3" s="64"/>
      <c r="B3" s="62" t="s">
        <v>149</v>
      </c>
      <c r="C3" s="63">
        <v>1.0</v>
      </c>
    </row>
    <row r="4">
      <c r="A4" s="64"/>
      <c r="B4" s="53" t="s">
        <v>108</v>
      </c>
      <c r="C4" s="65">
        <v>4.0</v>
      </c>
    </row>
    <row r="5">
      <c r="A5" s="64"/>
      <c r="B5" s="53" t="s">
        <v>150</v>
      </c>
      <c r="C5" s="65">
        <v>5.0</v>
      </c>
    </row>
    <row r="6">
      <c r="A6" s="66"/>
      <c r="B6" s="58" t="s">
        <v>51</v>
      </c>
      <c r="C6" s="67">
        <f>SUM(C2:C5)</f>
        <v>12</v>
      </c>
    </row>
    <row r="7">
      <c r="A7" s="61" t="s">
        <v>151</v>
      </c>
      <c r="B7" s="68" t="s">
        <v>152</v>
      </c>
      <c r="C7" s="53"/>
    </row>
    <row r="8">
      <c r="A8" s="64"/>
      <c r="B8" s="53" t="s">
        <v>153</v>
      </c>
      <c r="C8" s="65">
        <v>2.0</v>
      </c>
    </row>
    <row r="9">
      <c r="A9" s="64"/>
      <c r="B9" s="53" t="s">
        <v>154</v>
      </c>
      <c r="C9" s="69">
        <v>3.0</v>
      </c>
    </row>
    <row r="10">
      <c r="A10" s="64"/>
      <c r="B10" s="68" t="s">
        <v>155</v>
      </c>
      <c r="C10" s="53"/>
    </row>
    <row r="11">
      <c r="A11" s="64"/>
      <c r="B11" s="62" t="s">
        <v>156</v>
      </c>
      <c r="C11" s="65">
        <v>1.0</v>
      </c>
    </row>
    <row r="12">
      <c r="A12" s="64"/>
      <c r="B12" s="53" t="s">
        <v>157</v>
      </c>
      <c r="C12" s="65">
        <v>1.0</v>
      </c>
    </row>
    <row r="13">
      <c r="A13" s="64"/>
      <c r="B13" s="53" t="s">
        <v>158</v>
      </c>
      <c r="C13" s="65">
        <v>3.0</v>
      </c>
    </row>
    <row r="14">
      <c r="A14" s="64"/>
      <c r="B14" s="68" t="s">
        <v>159</v>
      </c>
      <c r="C14" s="53"/>
    </row>
    <row r="15">
      <c r="A15" s="64"/>
      <c r="B15" s="53" t="s">
        <v>160</v>
      </c>
      <c r="C15" s="65">
        <v>3.0</v>
      </c>
    </row>
    <row r="16">
      <c r="A16" s="64"/>
      <c r="B16" s="53" t="s">
        <v>161</v>
      </c>
      <c r="C16" s="65">
        <v>2.0</v>
      </c>
    </row>
    <row r="17">
      <c r="A17" s="64"/>
      <c r="B17" s="68" t="s">
        <v>162</v>
      </c>
      <c r="C17" s="53"/>
    </row>
    <row r="18">
      <c r="A18" s="64"/>
      <c r="B18" s="53" t="s">
        <v>163</v>
      </c>
      <c r="C18" s="65">
        <v>2.0</v>
      </c>
    </row>
    <row r="19">
      <c r="A19" s="64"/>
      <c r="B19" s="53" t="s">
        <v>164</v>
      </c>
      <c r="C19" s="65">
        <v>1.0</v>
      </c>
    </row>
    <row r="20">
      <c r="A20" s="64"/>
      <c r="B20" s="53" t="s">
        <v>165</v>
      </c>
      <c r="C20" s="65">
        <v>2.0</v>
      </c>
    </row>
    <row r="21">
      <c r="A21" s="64"/>
      <c r="B21" s="53" t="s">
        <v>166</v>
      </c>
      <c r="C21" s="65">
        <v>2.0</v>
      </c>
    </row>
    <row r="22">
      <c r="A22" s="64"/>
      <c r="B22" s="53" t="s">
        <v>167</v>
      </c>
      <c r="C22" s="65">
        <v>1.0</v>
      </c>
    </row>
    <row r="23">
      <c r="A23" s="64"/>
      <c r="B23" s="53" t="s">
        <v>168</v>
      </c>
      <c r="C23" s="65">
        <v>1.0</v>
      </c>
    </row>
    <row r="24">
      <c r="A24" s="64"/>
      <c r="B24" s="68" t="s">
        <v>169</v>
      </c>
      <c r="C24" s="53"/>
    </row>
    <row r="25">
      <c r="A25" s="64"/>
      <c r="B25" s="53" t="s">
        <v>170</v>
      </c>
      <c r="C25" s="65">
        <v>3.0</v>
      </c>
    </row>
    <row r="26">
      <c r="A26" s="64"/>
      <c r="B26" s="53" t="s">
        <v>171</v>
      </c>
      <c r="C26" s="65">
        <v>2.0</v>
      </c>
    </row>
    <row r="27">
      <c r="A27" s="64"/>
      <c r="B27" s="68" t="s">
        <v>172</v>
      </c>
      <c r="C27" s="53"/>
    </row>
    <row r="28">
      <c r="A28" s="64"/>
      <c r="B28" s="53" t="s">
        <v>173</v>
      </c>
      <c r="C28" s="69">
        <v>2.0</v>
      </c>
    </row>
    <row r="29">
      <c r="A29" s="64"/>
      <c r="B29" s="53" t="s">
        <v>174</v>
      </c>
      <c r="C29" s="65">
        <v>3.0</v>
      </c>
    </row>
    <row r="30">
      <c r="A30" s="64"/>
      <c r="B30" s="68" t="s">
        <v>175</v>
      </c>
      <c r="C30" s="53"/>
    </row>
    <row r="31">
      <c r="A31" s="64"/>
      <c r="B31" s="53" t="s">
        <v>176</v>
      </c>
      <c r="C31" s="69">
        <v>3.0</v>
      </c>
    </row>
    <row r="32">
      <c r="A32" s="64"/>
      <c r="B32" s="53" t="s">
        <v>177</v>
      </c>
      <c r="C32" s="65">
        <v>2.0</v>
      </c>
    </row>
    <row r="33">
      <c r="A33" s="66"/>
      <c r="B33" s="58" t="s">
        <v>51</v>
      </c>
      <c r="C33" s="67">
        <f>SUM(C7:C32)</f>
        <v>39</v>
      </c>
    </row>
    <row r="34">
      <c r="A34" s="70" t="s">
        <v>178</v>
      </c>
      <c r="B34" s="53" t="s">
        <v>179</v>
      </c>
      <c r="C34" s="67">
        <v>5.0</v>
      </c>
    </row>
    <row r="35">
      <c r="A35" s="61" t="s">
        <v>180</v>
      </c>
      <c r="B35" s="53" t="s">
        <v>142</v>
      </c>
      <c r="C35" s="65">
        <v>3.0</v>
      </c>
    </row>
    <row r="36">
      <c r="A36" s="64"/>
      <c r="B36" s="53" t="s">
        <v>146</v>
      </c>
      <c r="C36" s="65">
        <v>1.0</v>
      </c>
    </row>
    <row r="37">
      <c r="A37" s="66"/>
      <c r="B37" s="58" t="s">
        <v>51</v>
      </c>
      <c r="C37" s="67">
        <f>SUM(C35:C36)</f>
        <v>4</v>
      </c>
    </row>
    <row r="38">
      <c r="A38" s="61" t="s">
        <v>181</v>
      </c>
      <c r="B38" s="71" t="s">
        <v>182</v>
      </c>
      <c r="C38" s="69">
        <v>3.0</v>
      </c>
    </row>
    <row r="39">
      <c r="A39" s="64"/>
      <c r="B39" s="71" t="s">
        <v>183</v>
      </c>
      <c r="C39" s="69">
        <v>2.0</v>
      </c>
    </row>
    <row r="40">
      <c r="A40" s="66"/>
      <c r="B40" s="58" t="s">
        <v>51</v>
      </c>
      <c r="C40" s="67">
        <f>SUM(C38:C39)</f>
        <v>5</v>
      </c>
    </row>
    <row r="41">
      <c r="A41" s="57"/>
      <c r="B41" s="57"/>
      <c r="C41" s="72"/>
    </row>
    <row r="42">
      <c r="A42" s="57"/>
      <c r="B42" s="57"/>
      <c r="C42" s="72">
        <f>SUM(C6,C33,C34,C37,C40)</f>
        <v>65</v>
      </c>
    </row>
  </sheetData>
  <mergeCells count="4">
    <mergeCell ref="A2:A6"/>
    <mergeCell ref="A7:A33"/>
    <mergeCell ref="A35:A37"/>
    <mergeCell ref="A38:A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0"/>
    <col customWidth="1" min="5" max="5" width="15.63"/>
  </cols>
  <sheetData>
    <row r="1">
      <c r="A1" s="3"/>
      <c r="B1" s="4"/>
      <c r="C1" s="5"/>
      <c r="D1" s="73" t="s">
        <v>1</v>
      </c>
      <c r="E1" s="74" t="s">
        <v>0</v>
      </c>
    </row>
    <row r="2">
      <c r="A2" s="7" t="s">
        <v>2</v>
      </c>
      <c r="B2" s="8"/>
      <c r="C2" s="9"/>
      <c r="D2" s="75" t="s">
        <v>3</v>
      </c>
      <c r="E2" s="76">
        <v>1.0</v>
      </c>
    </row>
    <row r="3">
      <c r="A3" s="12"/>
      <c r="C3" s="13"/>
      <c r="D3" s="75" t="s">
        <v>184</v>
      </c>
      <c r="E3" s="76">
        <v>5.0</v>
      </c>
    </row>
    <row r="4">
      <c r="A4" s="12"/>
      <c r="C4" s="13"/>
      <c r="D4" s="75" t="s">
        <v>185</v>
      </c>
      <c r="E4" s="76">
        <v>1.0</v>
      </c>
    </row>
    <row r="5">
      <c r="A5" s="16"/>
      <c r="B5" s="17"/>
      <c r="C5" s="18"/>
      <c r="D5" s="75" t="s">
        <v>108</v>
      </c>
      <c r="E5" s="76">
        <v>7.0</v>
      </c>
    </row>
    <row r="6">
      <c r="A6" s="77" t="s">
        <v>186</v>
      </c>
      <c r="B6" s="8"/>
      <c r="C6" s="9"/>
      <c r="D6" s="78" t="s">
        <v>187</v>
      </c>
      <c r="E6" s="79"/>
    </row>
    <row r="7">
      <c r="A7" s="12"/>
      <c r="C7" s="13"/>
      <c r="D7" s="56" t="s">
        <v>188</v>
      </c>
      <c r="E7" s="76">
        <v>1.0</v>
      </c>
    </row>
    <row r="8">
      <c r="A8" s="12"/>
      <c r="C8" s="13"/>
      <c r="D8" s="57" t="s">
        <v>189</v>
      </c>
      <c r="E8" s="76">
        <v>1.0</v>
      </c>
    </row>
    <row r="9">
      <c r="A9" s="12"/>
      <c r="C9" s="13"/>
      <c r="D9" s="78" t="s">
        <v>190</v>
      </c>
      <c r="E9" s="79"/>
    </row>
    <row r="10">
      <c r="A10" s="12"/>
      <c r="C10" s="13"/>
      <c r="D10" s="56" t="s">
        <v>191</v>
      </c>
      <c r="E10" s="76">
        <v>1.0</v>
      </c>
    </row>
    <row r="11">
      <c r="A11" s="12"/>
      <c r="C11" s="13"/>
      <c r="D11" s="56" t="s">
        <v>192</v>
      </c>
      <c r="E11" s="76">
        <v>0.5</v>
      </c>
    </row>
    <row r="12">
      <c r="A12" s="12"/>
      <c r="C12" s="13"/>
      <c r="D12" s="56" t="s">
        <v>193</v>
      </c>
      <c r="E12" s="76">
        <v>0.5</v>
      </c>
    </row>
    <row r="13">
      <c r="A13" s="12"/>
      <c r="C13" s="13"/>
      <c r="D13" s="78" t="s">
        <v>194</v>
      </c>
      <c r="E13" s="79"/>
    </row>
    <row r="14">
      <c r="A14" s="12"/>
      <c r="C14" s="13"/>
      <c r="D14" s="80" t="s">
        <v>195</v>
      </c>
      <c r="E14" s="76">
        <v>1.0</v>
      </c>
    </row>
    <row r="15">
      <c r="A15" s="12"/>
      <c r="C15" s="13"/>
      <c r="D15" s="80" t="s">
        <v>196</v>
      </c>
      <c r="E15" s="76">
        <v>1.0</v>
      </c>
    </row>
    <row r="16">
      <c r="A16" s="12"/>
      <c r="C16" s="13"/>
      <c r="D16" s="78" t="s">
        <v>197</v>
      </c>
      <c r="E16" s="79"/>
    </row>
    <row r="17">
      <c r="A17" s="12"/>
      <c r="C17" s="13"/>
      <c r="D17" s="80" t="s">
        <v>198</v>
      </c>
      <c r="E17" s="76">
        <v>0.5</v>
      </c>
    </row>
    <row r="18">
      <c r="A18" s="12"/>
      <c r="C18" s="13"/>
      <c r="D18" s="80" t="s">
        <v>199</v>
      </c>
      <c r="E18" s="76">
        <v>0.5</v>
      </c>
    </row>
    <row r="19">
      <c r="A19" s="12"/>
      <c r="C19" s="13"/>
      <c r="D19" s="2" t="s">
        <v>200</v>
      </c>
      <c r="E19" s="76">
        <v>0.5</v>
      </c>
    </row>
    <row r="20">
      <c r="A20" s="12"/>
      <c r="C20" s="13"/>
      <c r="D20" s="56" t="s">
        <v>201</v>
      </c>
      <c r="E20" s="76">
        <v>1.0</v>
      </c>
    </row>
    <row r="21">
      <c r="A21" s="12"/>
      <c r="C21" s="13"/>
      <c r="D21" s="78" t="s">
        <v>202</v>
      </c>
      <c r="E21" s="79"/>
    </row>
    <row r="22">
      <c r="A22" s="12"/>
      <c r="C22" s="13"/>
      <c r="D22" s="56" t="s">
        <v>203</v>
      </c>
      <c r="E22" s="76">
        <v>1.0</v>
      </c>
    </row>
    <row r="23">
      <c r="A23" s="12"/>
      <c r="C23" s="13"/>
      <c r="D23" s="78" t="s">
        <v>204</v>
      </c>
      <c r="E23" s="79"/>
    </row>
    <row r="24">
      <c r="A24" s="12"/>
      <c r="C24" s="13"/>
      <c r="D24" s="80" t="s">
        <v>205</v>
      </c>
      <c r="E24" s="76">
        <v>2.0</v>
      </c>
    </row>
    <row r="25">
      <c r="A25" s="12"/>
      <c r="C25" s="13"/>
      <c r="D25" s="80" t="s">
        <v>206</v>
      </c>
      <c r="E25" s="76">
        <v>2.0</v>
      </c>
    </row>
    <row r="26">
      <c r="A26" s="12"/>
      <c r="C26" s="13"/>
      <c r="D26" s="78" t="s">
        <v>207</v>
      </c>
      <c r="E26" s="79"/>
    </row>
    <row r="27">
      <c r="A27" s="12"/>
      <c r="C27" s="13"/>
      <c r="D27" s="80" t="s">
        <v>208</v>
      </c>
      <c r="E27" s="76">
        <v>7.0</v>
      </c>
    </row>
    <row r="28">
      <c r="A28" s="12"/>
      <c r="C28" s="13"/>
      <c r="D28" s="24"/>
      <c r="E28" s="79"/>
    </row>
    <row r="29">
      <c r="A29" s="12"/>
      <c r="C29" s="13"/>
      <c r="D29" s="78" t="s">
        <v>209</v>
      </c>
      <c r="E29" s="79"/>
    </row>
    <row r="30">
      <c r="A30" s="12"/>
      <c r="C30" s="13"/>
      <c r="D30" s="80" t="s">
        <v>210</v>
      </c>
      <c r="E30" s="76">
        <v>1.0</v>
      </c>
    </row>
    <row r="31">
      <c r="A31" s="12"/>
      <c r="C31" s="13"/>
      <c r="D31" s="2"/>
      <c r="E31" s="79"/>
    </row>
    <row r="32">
      <c r="A32" s="12"/>
      <c r="C32" s="13"/>
      <c r="D32" s="81" t="s">
        <v>211</v>
      </c>
      <c r="E32" s="79"/>
    </row>
    <row r="33">
      <c r="A33" s="12"/>
      <c r="C33" s="13"/>
      <c r="D33" s="80" t="s">
        <v>212</v>
      </c>
      <c r="E33" s="76">
        <v>2.0</v>
      </c>
    </row>
    <row r="34">
      <c r="A34" s="12"/>
      <c r="C34" s="13"/>
      <c r="D34" s="82" t="s">
        <v>213</v>
      </c>
      <c r="E34" s="76">
        <v>2.0</v>
      </c>
    </row>
    <row r="35">
      <c r="A35" s="12"/>
      <c r="C35" s="13"/>
      <c r="D35" s="82" t="s">
        <v>214</v>
      </c>
      <c r="E35" s="76">
        <v>2.0</v>
      </c>
    </row>
    <row r="36">
      <c r="A36" s="12"/>
      <c r="C36" s="13"/>
      <c r="D36" s="81" t="s">
        <v>215</v>
      </c>
      <c r="E36" s="79"/>
    </row>
    <row r="37">
      <c r="A37" s="12"/>
      <c r="C37" s="13"/>
      <c r="D37" s="80" t="s">
        <v>216</v>
      </c>
      <c r="E37" s="76">
        <v>1.0</v>
      </c>
    </row>
    <row r="38">
      <c r="A38" s="12"/>
      <c r="C38" s="13"/>
      <c r="D38" s="2" t="s">
        <v>217</v>
      </c>
      <c r="E38" s="76">
        <v>1.0</v>
      </c>
    </row>
    <row r="39">
      <c r="A39" s="12"/>
      <c r="C39" s="13"/>
      <c r="D39" s="2" t="s">
        <v>218</v>
      </c>
      <c r="E39" s="76">
        <v>0.5</v>
      </c>
    </row>
    <row r="40">
      <c r="A40" s="12"/>
      <c r="C40" s="13"/>
      <c r="D40" s="2" t="s">
        <v>219</v>
      </c>
      <c r="E40" s="76">
        <v>0.75</v>
      </c>
    </row>
    <row r="41">
      <c r="A41" s="12"/>
      <c r="C41" s="13"/>
      <c r="D41" s="81" t="s">
        <v>220</v>
      </c>
      <c r="E41" s="79"/>
    </row>
    <row r="42">
      <c r="A42" s="12"/>
      <c r="C42" s="13"/>
      <c r="D42" s="82" t="s">
        <v>221</v>
      </c>
      <c r="E42" s="76">
        <v>2.0</v>
      </c>
    </row>
    <row r="43">
      <c r="A43" s="12"/>
      <c r="C43" s="13"/>
      <c r="D43" s="82" t="s">
        <v>222</v>
      </c>
      <c r="E43" s="76">
        <v>2.0</v>
      </c>
    </row>
    <row r="44">
      <c r="A44" s="12"/>
      <c r="C44" s="13"/>
      <c r="D44" s="82" t="s">
        <v>223</v>
      </c>
      <c r="E44" s="76">
        <v>1.0</v>
      </c>
    </row>
    <row r="45">
      <c r="A45" s="12"/>
      <c r="C45" s="13"/>
      <c r="D45" s="24"/>
      <c r="E45" s="79"/>
    </row>
    <row r="46">
      <c r="A46" s="12"/>
      <c r="C46" s="13"/>
      <c r="D46" s="81" t="s">
        <v>224</v>
      </c>
      <c r="E46" s="79"/>
    </row>
    <row r="47">
      <c r="A47" s="12"/>
      <c r="C47" s="13"/>
      <c r="D47" s="82" t="s">
        <v>225</v>
      </c>
      <c r="E47" s="76">
        <v>1.0</v>
      </c>
    </row>
    <row r="48">
      <c r="A48" s="12"/>
      <c r="C48" s="13"/>
      <c r="D48" s="82" t="s">
        <v>226</v>
      </c>
      <c r="E48" s="76">
        <v>7.0</v>
      </c>
    </row>
    <row r="49">
      <c r="A49" s="12"/>
      <c r="C49" s="13"/>
      <c r="D49" s="24"/>
      <c r="E49" s="83"/>
    </row>
    <row r="50">
      <c r="A50" s="16"/>
      <c r="B50" s="17"/>
      <c r="C50" s="18"/>
      <c r="D50" s="84" t="s">
        <v>227</v>
      </c>
      <c r="E50" s="85">
        <f>SUM(E7:E49)</f>
        <v>43.75</v>
      </c>
    </row>
    <row r="51">
      <c r="A51" s="25" t="s">
        <v>30</v>
      </c>
      <c r="B51" s="4"/>
      <c r="C51" s="5"/>
      <c r="D51" s="56" t="s">
        <v>31</v>
      </c>
      <c r="E51" s="86">
        <v>5.0</v>
      </c>
    </row>
    <row r="52">
      <c r="A52" s="25" t="s">
        <v>142</v>
      </c>
      <c r="B52" s="4"/>
      <c r="C52" s="5"/>
      <c r="D52" s="56" t="s">
        <v>143</v>
      </c>
      <c r="E52" s="86">
        <v>2.0</v>
      </c>
    </row>
    <row r="53">
      <c r="A53" s="25" t="s">
        <v>228</v>
      </c>
      <c r="B53" s="4"/>
      <c r="C53" s="5"/>
      <c r="D53" s="56" t="s">
        <v>146</v>
      </c>
      <c r="E53" s="86">
        <v>2.0</v>
      </c>
    </row>
    <row r="54">
      <c r="A54" s="2"/>
      <c r="B54" s="2"/>
      <c r="C54" s="2"/>
      <c r="D54" s="87" t="s">
        <v>229</v>
      </c>
      <c r="E54" s="88">
        <f>E50+SUM(E51:E53)+SUM(E2:E5)</f>
        <v>66.75</v>
      </c>
    </row>
  </sheetData>
  <mergeCells count="6">
    <mergeCell ref="A1:C1"/>
    <mergeCell ref="A2:C5"/>
    <mergeCell ref="A6:C50"/>
    <mergeCell ref="A51:C51"/>
    <mergeCell ref="A52:C52"/>
    <mergeCell ref="A53:C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89.75"/>
    <col customWidth="1" min="3" max="3" width="8.75"/>
  </cols>
  <sheetData>
    <row r="1">
      <c r="A1" s="2"/>
      <c r="B1" s="89" t="s">
        <v>1</v>
      </c>
      <c r="C1" s="89" t="s">
        <v>42</v>
      </c>
    </row>
    <row r="2">
      <c r="A2" s="90"/>
      <c r="B2" s="2" t="s">
        <v>230</v>
      </c>
      <c r="C2" s="91">
        <v>2.0</v>
      </c>
    </row>
    <row r="3">
      <c r="A3" s="90"/>
      <c r="B3" s="2" t="s">
        <v>231</v>
      </c>
      <c r="C3" s="91">
        <v>2.0</v>
      </c>
    </row>
    <row r="4">
      <c r="A4" s="38" t="s">
        <v>232</v>
      </c>
      <c r="B4" s="92" t="s">
        <v>5</v>
      </c>
      <c r="C4" s="91">
        <v>2.0</v>
      </c>
    </row>
    <row r="5">
      <c r="A5" s="90"/>
      <c r="B5" s="2" t="s">
        <v>233</v>
      </c>
      <c r="C5" s="91">
        <v>1.0</v>
      </c>
    </row>
    <row r="6">
      <c r="A6" s="90"/>
      <c r="B6" s="2" t="s">
        <v>234</v>
      </c>
      <c r="C6" s="91">
        <v>2.0</v>
      </c>
    </row>
    <row r="7">
      <c r="A7" s="90"/>
      <c r="B7" s="2"/>
      <c r="C7" s="2"/>
    </row>
    <row r="8">
      <c r="A8" s="90"/>
      <c r="B8" s="2" t="s">
        <v>235</v>
      </c>
      <c r="C8" s="91">
        <f>SUM(C2,C3,C6,C7,C5,C4)</f>
        <v>9</v>
      </c>
    </row>
    <row r="9">
      <c r="A9" s="2"/>
      <c r="B9" s="2"/>
      <c r="C9" s="2"/>
    </row>
    <row r="10">
      <c r="A10" s="90"/>
      <c r="B10" s="2" t="s">
        <v>236</v>
      </c>
      <c r="C10" s="91">
        <v>1.0</v>
      </c>
    </row>
    <row r="11">
      <c r="A11" s="90"/>
      <c r="B11" s="2" t="s">
        <v>237</v>
      </c>
      <c r="C11" s="91">
        <v>1.0</v>
      </c>
    </row>
    <row r="12">
      <c r="A12" s="90"/>
      <c r="B12" s="2" t="s">
        <v>238</v>
      </c>
      <c r="C12" s="91">
        <v>1.0</v>
      </c>
    </row>
    <row r="13">
      <c r="A13" s="38" t="s">
        <v>239</v>
      </c>
      <c r="B13" s="2" t="s">
        <v>240</v>
      </c>
      <c r="C13" s="91">
        <v>1.0</v>
      </c>
    </row>
    <row r="14">
      <c r="A14" s="90"/>
      <c r="B14" s="2"/>
      <c r="C14" s="2"/>
    </row>
    <row r="15">
      <c r="A15" s="90"/>
      <c r="B15" s="2"/>
      <c r="C15" s="2"/>
    </row>
    <row r="16">
      <c r="A16" s="90"/>
      <c r="B16" s="2" t="s">
        <v>235</v>
      </c>
      <c r="C16" s="91">
        <f>SUM(C10,C11,C12,C13,C14,C15)</f>
        <v>4</v>
      </c>
    </row>
    <row r="17">
      <c r="A17" s="2"/>
      <c r="B17" s="93" t="s">
        <v>241</v>
      </c>
      <c r="C17" s="2"/>
    </row>
    <row r="18">
      <c r="A18" s="90"/>
      <c r="B18" s="2" t="s">
        <v>242</v>
      </c>
      <c r="C18" s="91">
        <v>1.0</v>
      </c>
    </row>
    <row r="19">
      <c r="A19" s="90"/>
      <c r="B19" s="2" t="s">
        <v>243</v>
      </c>
      <c r="C19" s="91">
        <v>4.0</v>
      </c>
    </row>
    <row r="20">
      <c r="A20" s="90"/>
      <c r="B20" s="2" t="s">
        <v>244</v>
      </c>
      <c r="C20" s="91">
        <v>2.0</v>
      </c>
    </row>
    <row r="21">
      <c r="A21" s="38" t="s">
        <v>245</v>
      </c>
      <c r="B21" s="2" t="s">
        <v>246</v>
      </c>
      <c r="C21" s="91">
        <v>5.0</v>
      </c>
    </row>
    <row r="22">
      <c r="A22" s="90"/>
      <c r="B22" s="2"/>
      <c r="C22" s="2"/>
    </row>
    <row r="23">
      <c r="A23" s="90"/>
      <c r="B23" s="2"/>
      <c r="C23" s="2"/>
    </row>
    <row r="24">
      <c r="A24" s="90"/>
      <c r="B24" s="2"/>
      <c r="C24" s="2"/>
    </row>
    <row r="25">
      <c r="A25" s="90"/>
      <c r="B25" s="2" t="s">
        <v>235</v>
      </c>
      <c r="C25" s="91">
        <f>SUM(C18,C19,C20,C21,C22,C23,C24)</f>
        <v>12</v>
      </c>
    </row>
    <row r="26">
      <c r="A26" s="2"/>
      <c r="B26" s="93" t="s">
        <v>247</v>
      </c>
      <c r="C26" s="2"/>
    </row>
    <row r="27">
      <c r="A27" s="90"/>
      <c r="B27" s="2" t="s">
        <v>248</v>
      </c>
      <c r="C27" s="91">
        <v>1.0</v>
      </c>
    </row>
    <row r="28">
      <c r="A28" s="38" t="s">
        <v>249</v>
      </c>
      <c r="B28" s="2" t="s">
        <v>250</v>
      </c>
      <c r="C28" s="91">
        <v>6.0</v>
      </c>
    </row>
    <row r="29">
      <c r="A29" s="90"/>
      <c r="B29" s="2" t="s">
        <v>251</v>
      </c>
      <c r="C29" s="91">
        <v>4.0</v>
      </c>
    </row>
    <row r="30">
      <c r="A30" s="90"/>
      <c r="B30" s="2" t="s">
        <v>252</v>
      </c>
      <c r="C30" s="91">
        <v>4.0</v>
      </c>
    </row>
    <row r="31">
      <c r="A31" s="2"/>
      <c r="B31" s="2" t="s">
        <v>253</v>
      </c>
      <c r="C31" s="91">
        <v>1.0</v>
      </c>
    </row>
    <row r="32">
      <c r="A32" s="94"/>
      <c r="B32" s="94" t="s">
        <v>235</v>
      </c>
      <c r="C32" s="91">
        <f>SUM(C33,C34,,C31,C29,C30,C28,C27)</f>
        <v>16</v>
      </c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93" t="s">
        <v>254</v>
      </c>
      <c r="C36" s="2"/>
    </row>
    <row r="37">
      <c r="A37" s="90"/>
      <c r="B37" s="2" t="s">
        <v>255</v>
      </c>
      <c r="C37" s="91">
        <v>3.0</v>
      </c>
    </row>
    <row r="38">
      <c r="A38" s="90"/>
      <c r="B38" s="2" t="s">
        <v>256</v>
      </c>
      <c r="C38" s="91">
        <v>2.0</v>
      </c>
    </row>
    <row r="39">
      <c r="A39" s="38" t="s">
        <v>257</v>
      </c>
      <c r="B39" s="2" t="s">
        <v>258</v>
      </c>
      <c r="C39" s="91">
        <v>4.0</v>
      </c>
    </row>
    <row r="40">
      <c r="A40" s="90"/>
      <c r="B40" s="2" t="s">
        <v>259</v>
      </c>
      <c r="C40" s="91">
        <v>4.0</v>
      </c>
    </row>
    <row r="41">
      <c r="A41" s="90"/>
      <c r="B41" s="2" t="s">
        <v>260</v>
      </c>
      <c r="C41" s="91">
        <v>1.0</v>
      </c>
    </row>
    <row r="42">
      <c r="A42" s="90"/>
      <c r="B42" s="2"/>
      <c r="C42" s="2"/>
    </row>
    <row r="43">
      <c r="A43" s="90"/>
      <c r="B43" s="2"/>
      <c r="C43" s="2"/>
    </row>
    <row r="44">
      <c r="A44" s="90"/>
      <c r="B44" s="2"/>
      <c r="C44" s="2"/>
    </row>
    <row r="45">
      <c r="A45" s="90"/>
      <c r="B45" s="2" t="s">
        <v>235</v>
      </c>
      <c r="C45" s="91">
        <f>SUM(C37,C38,C39,C41,C42,C43,C44,C40)</f>
        <v>14</v>
      </c>
    </row>
    <row r="46">
      <c r="A46" s="92"/>
      <c r="B46" s="93" t="s">
        <v>261</v>
      </c>
      <c r="C46" s="2"/>
    </row>
    <row r="47">
      <c r="A47" s="90"/>
      <c r="B47" s="2" t="s">
        <v>262</v>
      </c>
      <c r="C47" s="91">
        <v>4.0</v>
      </c>
    </row>
    <row r="48">
      <c r="A48" s="38" t="s">
        <v>263</v>
      </c>
      <c r="B48" s="2" t="s">
        <v>264</v>
      </c>
      <c r="C48" s="91">
        <v>4.0</v>
      </c>
    </row>
    <row r="49">
      <c r="A49" s="90"/>
      <c r="B49" s="2" t="s">
        <v>265</v>
      </c>
      <c r="C49" s="91">
        <v>1.0</v>
      </c>
    </row>
    <row r="50">
      <c r="A50" s="95"/>
      <c r="B50" s="2" t="s">
        <v>266</v>
      </c>
      <c r="C50" s="91">
        <v>1.0</v>
      </c>
    </row>
    <row r="51">
      <c r="A51" s="95"/>
      <c r="B51" s="2" t="s">
        <v>267</v>
      </c>
      <c r="C51" s="91">
        <v>1.0</v>
      </c>
    </row>
    <row r="52">
      <c r="A52" s="90"/>
      <c r="B52" s="2" t="s">
        <v>235</v>
      </c>
      <c r="C52" s="91">
        <f>SUM(C48,C47,C49,C51,C50)</f>
        <v>11</v>
      </c>
    </row>
    <row r="53">
      <c r="A53" s="94"/>
      <c r="B53" s="2"/>
      <c r="C53" s="2"/>
    </row>
    <row r="54">
      <c r="A54" s="94"/>
      <c r="B54" s="2" t="s">
        <v>268</v>
      </c>
      <c r="C54" s="91">
        <f>SUM(C52,C45,C32,C25,C16,C8)</f>
        <v>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4.38"/>
  </cols>
  <sheetData>
    <row r="1">
      <c r="A1" s="2"/>
      <c r="B1" s="2"/>
      <c r="C1" s="2"/>
      <c r="D1" s="2"/>
      <c r="E1" s="2"/>
      <c r="F1" s="96" t="s">
        <v>269</v>
      </c>
      <c r="G1" s="96" t="s">
        <v>269</v>
      </c>
    </row>
    <row r="2">
      <c r="A2" s="1" t="s">
        <v>0</v>
      </c>
      <c r="C2" s="2"/>
      <c r="D2" s="2"/>
      <c r="E2" s="2"/>
      <c r="F2" s="97" t="s">
        <v>270</v>
      </c>
      <c r="G2" s="97" t="s">
        <v>271</v>
      </c>
    </row>
    <row r="3">
      <c r="A3" s="3"/>
      <c r="B3" s="4"/>
      <c r="C3" s="5"/>
      <c r="D3" s="6" t="s">
        <v>1</v>
      </c>
      <c r="E3" s="6" t="s">
        <v>0</v>
      </c>
      <c r="F3" s="98" t="s">
        <v>272</v>
      </c>
      <c r="G3" s="98" t="s">
        <v>273</v>
      </c>
    </row>
    <row r="4">
      <c r="A4" s="99"/>
      <c r="B4" s="8"/>
      <c r="C4" s="9"/>
      <c r="D4" s="53" t="s">
        <v>274</v>
      </c>
      <c r="E4" s="11">
        <f t="shared" ref="E4:E5" si="1">F4+G4</f>
        <v>3</v>
      </c>
      <c r="F4" s="100">
        <v>1.0</v>
      </c>
      <c r="G4" s="101">
        <v>2.0</v>
      </c>
    </row>
    <row r="5">
      <c r="A5" s="12"/>
      <c r="C5" s="13"/>
      <c r="D5" s="53" t="s">
        <v>109</v>
      </c>
      <c r="E5" s="11">
        <f t="shared" si="1"/>
        <v>9</v>
      </c>
      <c r="F5" s="101">
        <v>4.0</v>
      </c>
      <c r="G5" s="100">
        <v>5.0</v>
      </c>
    </row>
    <row r="6">
      <c r="A6" s="16"/>
      <c r="B6" s="17"/>
      <c r="C6" s="18"/>
      <c r="D6" s="58" t="s">
        <v>8</v>
      </c>
      <c r="E6" s="11">
        <f t="shared" ref="E6:G6" si="2">SUM(E4:E5)</f>
        <v>12</v>
      </c>
      <c r="F6" s="102">
        <f t="shared" si="2"/>
        <v>5</v>
      </c>
      <c r="G6" s="102">
        <f t="shared" si="2"/>
        <v>7</v>
      </c>
    </row>
    <row r="7">
      <c r="A7" s="99"/>
      <c r="B7" s="8"/>
      <c r="C7" s="9"/>
      <c r="D7" s="103" t="s">
        <v>112</v>
      </c>
      <c r="E7" s="4"/>
      <c r="F7" s="4"/>
      <c r="G7" s="5"/>
    </row>
    <row r="8">
      <c r="A8" s="12"/>
      <c r="C8" s="13"/>
      <c r="D8" s="53" t="s">
        <v>114</v>
      </c>
      <c r="E8" s="11">
        <f t="shared" ref="E8:E9" si="3">F8+G8</f>
        <v>3</v>
      </c>
      <c r="F8" s="100">
        <v>3.0</v>
      </c>
      <c r="G8" s="24"/>
    </row>
    <row r="9">
      <c r="A9" s="12"/>
      <c r="C9" s="13"/>
      <c r="D9" s="53" t="s">
        <v>115</v>
      </c>
      <c r="E9" s="11">
        <f t="shared" si="3"/>
        <v>2</v>
      </c>
      <c r="F9" s="100">
        <v>2.0</v>
      </c>
      <c r="G9" s="24"/>
    </row>
    <row r="10">
      <c r="A10" s="12"/>
      <c r="C10" s="13"/>
      <c r="D10" s="58" t="s">
        <v>8</v>
      </c>
      <c r="E10" s="11">
        <f t="shared" ref="E10:G10" si="4">SUM(E8:E9)</f>
        <v>5</v>
      </c>
      <c r="F10" s="11">
        <f t="shared" si="4"/>
        <v>5</v>
      </c>
      <c r="G10" s="11">
        <f t="shared" si="4"/>
        <v>0</v>
      </c>
    </row>
    <row r="11">
      <c r="A11" s="12"/>
      <c r="C11" s="13"/>
      <c r="D11" s="103" t="s">
        <v>275</v>
      </c>
      <c r="E11" s="4"/>
      <c r="F11" s="4"/>
      <c r="G11" s="5"/>
    </row>
    <row r="12">
      <c r="A12" s="12"/>
      <c r="C12" s="13"/>
      <c r="D12" s="62" t="s">
        <v>276</v>
      </c>
      <c r="E12" s="104">
        <f t="shared" ref="E12:E15" si="5">F12+G12</f>
        <v>2</v>
      </c>
      <c r="F12" s="105"/>
      <c r="G12" s="105">
        <v>2.0</v>
      </c>
    </row>
    <row r="13">
      <c r="A13" s="12"/>
      <c r="C13" s="13"/>
      <c r="D13" s="62" t="s">
        <v>277</v>
      </c>
      <c r="E13" s="104">
        <f t="shared" si="5"/>
        <v>1</v>
      </c>
      <c r="F13" s="106"/>
      <c r="G13" s="106">
        <v>1.0</v>
      </c>
    </row>
    <row r="14">
      <c r="A14" s="12"/>
      <c r="C14" s="13"/>
      <c r="D14" s="62" t="s">
        <v>278</v>
      </c>
      <c r="E14" s="104">
        <f t="shared" si="5"/>
        <v>1</v>
      </c>
      <c r="F14" s="106"/>
      <c r="G14" s="106">
        <v>1.0</v>
      </c>
    </row>
    <row r="15">
      <c r="A15" s="12"/>
      <c r="C15" s="13"/>
      <c r="D15" s="62" t="s">
        <v>279</v>
      </c>
      <c r="E15" s="104">
        <f t="shared" si="5"/>
        <v>1</v>
      </c>
      <c r="F15" s="105"/>
      <c r="G15" s="105">
        <v>1.0</v>
      </c>
    </row>
    <row r="16">
      <c r="A16" s="12"/>
      <c r="C16" s="13"/>
      <c r="D16" s="107" t="s">
        <v>8</v>
      </c>
      <c r="E16" s="104">
        <f t="shared" ref="E16:G16" si="6">SUM(E11:E15)</f>
        <v>5</v>
      </c>
      <c r="F16" s="104">
        <f t="shared" si="6"/>
        <v>0</v>
      </c>
      <c r="G16" s="104">
        <f t="shared" si="6"/>
        <v>5</v>
      </c>
    </row>
    <row r="17">
      <c r="A17" s="12"/>
      <c r="C17" s="13"/>
      <c r="D17" s="103" t="s">
        <v>280</v>
      </c>
      <c r="E17" s="4"/>
      <c r="F17" s="4"/>
      <c r="G17" s="5"/>
    </row>
    <row r="18">
      <c r="A18" s="12"/>
      <c r="C18" s="13"/>
      <c r="D18" s="108" t="s">
        <v>281</v>
      </c>
      <c r="E18" s="104">
        <f t="shared" ref="E18:E25" si="7">F18+G18</f>
        <v>2</v>
      </c>
      <c r="F18" s="106"/>
      <c r="G18" s="105">
        <v>2.0</v>
      </c>
    </row>
    <row r="19">
      <c r="A19" s="12"/>
      <c r="C19" s="13"/>
      <c r="D19" s="108" t="s">
        <v>282</v>
      </c>
      <c r="E19" s="104">
        <f t="shared" si="7"/>
        <v>2</v>
      </c>
      <c r="F19" s="106"/>
      <c r="G19" s="105">
        <v>2.0</v>
      </c>
    </row>
    <row r="20">
      <c r="A20" s="12"/>
      <c r="C20" s="13"/>
      <c r="D20" s="108" t="s">
        <v>283</v>
      </c>
      <c r="E20" s="104">
        <f t="shared" si="7"/>
        <v>1</v>
      </c>
      <c r="F20" s="109"/>
      <c r="G20" s="106">
        <v>1.0</v>
      </c>
    </row>
    <row r="21">
      <c r="A21" s="12"/>
      <c r="C21" s="13"/>
      <c r="D21" s="108" t="s">
        <v>284</v>
      </c>
      <c r="E21" s="104">
        <f t="shared" si="7"/>
        <v>1</v>
      </c>
      <c r="F21" s="109"/>
      <c r="G21" s="106">
        <v>1.0</v>
      </c>
    </row>
    <row r="22">
      <c r="A22" s="12"/>
      <c r="C22" s="13"/>
      <c r="D22" s="108" t="s">
        <v>285</v>
      </c>
      <c r="E22" s="104">
        <f t="shared" si="7"/>
        <v>2</v>
      </c>
      <c r="F22" s="106"/>
      <c r="G22" s="105">
        <v>2.0</v>
      </c>
    </row>
    <row r="23">
      <c r="A23" s="12"/>
      <c r="C23" s="13"/>
      <c r="D23" s="108" t="s">
        <v>286</v>
      </c>
      <c r="E23" s="104">
        <f t="shared" si="7"/>
        <v>1</v>
      </c>
      <c r="F23" s="106"/>
      <c r="G23" s="105">
        <v>1.0</v>
      </c>
    </row>
    <row r="24">
      <c r="A24" s="12"/>
      <c r="C24" s="13"/>
      <c r="D24" s="108" t="s">
        <v>287</v>
      </c>
      <c r="E24" s="104">
        <f t="shared" si="7"/>
        <v>2</v>
      </c>
      <c r="F24" s="106"/>
      <c r="G24" s="105">
        <v>2.0</v>
      </c>
    </row>
    <row r="25">
      <c r="A25" s="12"/>
      <c r="C25" s="13"/>
      <c r="D25" s="109" t="s">
        <v>288</v>
      </c>
      <c r="E25" s="104">
        <f t="shared" si="7"/>
        <v>2</v>
      </c>
      <c r="F25" s="106"/>
      <c r="G25" s="105">
        <v>2.0</v>
      </c>
    </row>
    <row r="26">
      <c r="A26" s="12"/>
      <c r="C26" s="13"/>
      <c r="D26" s="107" t="s">
        <v>8</v>
      </c>
      <c r="E26" s="104">
        <f t="shared" ref="E26:F26" si="8">SUM(E18:E25)</f>
        <v>13</v>
      </c>
      <c r="F26" s="104">
        <f t="shared" si="8"/>
        <v>0</v>
      </c>
      <c r="G26" s="104">
        <f>SUM(G19:G25)</f>
        <v>11</v>
      </c>
    </row>
    <row r="27">
      <c r="A27" s="12"/>
      <c r="C27" s="13"/>
      <c r="D27" s="103" t="s">
        <v>289</v>
      </c>
      <c r="E27" s="4"/>
      <c r="F27" s="4"/>
      <c r="G27" s="5"/>
    </row>
    <row r="28">
      <c r="A28" s="12"/>
      <c r="C28" s="13"/>
      <c r="D28" s="108" t="s">
        <v>290</v>
      </c>
      <c r="E28" s="104">
        <f t="shared" ref="E28:E39" si="9">F28+G28</f>
        <v>2</v>
      </c>
      <c r="F28" s="109"/>
      <c r="G28" s="106">
        <v>2.0</v>
      </c>
    </row>
    <row r="29">
      <c r="A29" s="12"/>
      <c r="C29" s="13"/>
      <c r="D29" s="110" t="s">
        <v>291</v>
      </c>
      <c r="E29" s="104">
        <f t="shared" si="9"/>
        <v>2</v>
      </c>
      <c r="F29" s="109"/>
      <c r="G29" s="111">
        <v>2.0</v>
      </c>
    </row>
    <row r="30">
      <c r="A30" s="12"/>
      <c r="C30" s="13"/>
      <c r="D30" s="108" t="s">
        <v>284</v>
      </c>
      <c r="E30" s="104">
        <f t="shared" si="9"/>
        <v>1</v>
      </c>
      <c r="F30" s="109"/>
      <c r="G30" s="106">
        <v>1.0</v>
      </c>
    </row>
    <row r="31">
      <c r="A31" s="12"/>
      <c r="C31" s="13"/>
      <c r="D31" s="108" t="s">
        <v>292</v>
      </c>
      <c r="E31" s="104">
        <f t="shared" si="9"/>
        <v>2</v>
      </c>
      <c r="F31" s="109"/>
      <c r="G31" s="106">
        <v>2.0</v>
      </c>
    </row>
    <row r="32">
      <c r="A32" s="12"/>
      <c r="C32" s="13"/>
      <c r="D32" s="108" t="s">
        <v>293</v>
      </c>
      <c r="E32" s="104">
        <f t="shared" si="9"/>
        <v>1</v>
      </c>
      <c r="F32" s="109"/>
      <c r="G32" s="106">
        <v>1.0</v>
      </c>
    </row>
    <row r="33">
      <c r="A33" s="12"/>
      <c r="C33" s="13"/>
      <c r="D33" s="108" t="s">
        <v>294</v>
      </c>
      <c r="E33" s="104">
        <f t="shared" si="9"/>
        <v>1</v>
      </c>
      <c r="F33" s="109"/>
      <c r="G33" s="106">
        <v>1.0</v>
      </c>
    </row>
    <row r="34">
      <c r="A34" s="12"/>
      <c r="C34" s="13"/>
      <c r="D34" s="109" t="s">
        <v>295</v>
      </c>
      <c r="E34" s="104">
        <f t="shared" si="9"/>
        <v>2</v>
      </c>
      <c r="F34" s="109"/>
      <c r="G34" s="106">
        <v>2.0</v>
      </c>
    </row>
    <row r="35">
      <c r="A35" s="12"/>
      <c r="C35" s="13"/>
      <c r="D35" s="108" t="s">
        <v>283</v>
      </c>
      <c r="E35" s="104">
        <f t="shared" si="9"/>
        <v>1</v>
      </c>
      <c r="F35" s="109"/>
      <c r="G35" s="106">
        <v>1.0</v>
      </c>
    </row>
    <row r="36">
      <c r="A36" s="12"/>
      <c r="C36" s="13"/>
      <c r="D36" s="108" t="s">
        <v>296</v>
      </c>
      <c r="E36" s="104">
        <f t="shared" si="9"/>
        <v>2</v>
      </c>
      <c r="F36" s="109"/>
      <c r="G36" s="106">
        <v>2.0</v>
      </c>
    </row>
    <row r="37">
      <c r="A37" s="12"/>
      <c r="C37" s="13"/>
      <c r="D37" s="108" t="s">
        <v>285</v>
      </c>
      <c r="E37" s="104">
        <f t="shared" si="9"/>
        <v>2</v>
      </c>
      <c r="F37" s="109"/>
      <c r="G37" s="106">
        <v>2.0</v>
      </c>
    </row>
    <row r="38">
      <c r="A38" s="12"/>
      <c r="C38" s="13"/>
      <c r="D38" s="108" t="s">
        <v>288</v>
      </c>
      <c r="E38" s="104">
        <f t="shared" si="9"/>
        <v>2</v>
      </c>
      <c r="F38" s="109"/>
      <c r="G38" s="106">
        <v>2.0</v>
      </c>
    </row>
    <row r="39">
      <c r="A39" s="12"/>
      <c r="C39" s="13"/>
      <c r="D39" s="108" t="s">
        <v>67</v>
      </c>
      <c r="E39" s="104">
        <f t="shared" si="9"/>
        <v>2</v>
      </c>
      <c r="F39" s="109"/>
      <c r="G39" s="106">
        <v>2.0</v>
      </c>
    </row>
    <row r="40">
      <c r="A40" s="12"/>
      <c r="C40" s="13"/>
      <c r="D40" s="58" t="s">
        <v>8</v>
      </c>
      <c r="E40" s="11">
        <f>SUM(E28:E39)</f>
        <v>20</v>
      </c>
      <c r="F40" s="11">
        <f>SUM(F34:F39)</f>
        <v>0</v>
      </c>
      <c r="G40" s="11">
        <f>SUM(G28:G39)</f>
        <v>20</v>
      </c>
    </row>
    <row r="41">
      <c r="A41" s="12"/>
      <c r="C41" s="13"/>
      <c r="D41" s="103" t="s">
        <v>297</v>
      </c>
      <c r="E41" s="4"/>
      <c r="F41" s="4"/>
      <c r="G41" s="5"/>
    </row>
    <row r="42">
      <c r="A42" s="12"/>
      <c r="C42" s="13"/>
      <c r="D42" s="112" t="s">
        <v>293</v>
      </c>
      <c r="E42" s="104">
        <f t="shared" ref="E42:E52" si="10">F42+G42</f>
        <v>1</v>
      </c>
      <c r="F42" s="106">
        <v>1.0</v>
      </c>
      <c r="G42" s="109"/>
    </row>
    <row r="43">
      <c r="A43" s="12"/>
      <c r="C43" s="13"/>
      <c r="D43" s="108" t="s">
        <v>284</v>
      </c>
      <c r="E43" s="104">
        <f t="shared" si="10"/>
        <v>1</v>
      </c>
      <c r="F43" s="105">
        <v>1.0</v>
      </c>
      <c r="G43" s="106"/>
    </row>
    <row r="44">
      <c r="A44" s="12"/>
      <c r="C44" s="13"/>
      <c r="D44" s="112" t="s">
        <v>282</v>
      </c>
      <c r="E44" s="104">
        <f t="shared" si="10"/>
        <v>2</v>
      </c>
      <c r="F44" s="106">
        <v>2.0</v>
      </c>
      <c r="G44" s="109"/>
    </row>
    <row r="45">
      <c r="A45" s="12"/>
      <c r="C45" s="13"/>
      <c r="D45" s="108" t="s">
        <v>283</v>
      </c>
      <c r="E45" s="104">
        <f t="shared" si="10"/>
        <v>1</v>
      </c>
      <c r="F45" s="105">
        <v>1.0</v>
      </c>
      <c r="G45" s="106"/>
    </row>
    <row r="46">
      <c r="A46" s="12"/>
      <c r="C46" s="13"/>
      <c r="D46" s="112" t="s">
        <v>298</v>
      </c>
      <c r="E46" s="104">
        <f t="shared" si="10"/>
        <v>2</v>
      </c>
      <c r="F46" s="106">
        <v>2.0</v>
      </c>
      <c r="G46" s="109"/>
    </row>
    <row r="47">
      <c r="A47" s="12"/>
      <c r="C47" s="13"/>
      <c r="D47" s="113" t="s">
        <v>299</v>
      </c>
      <c r="E47" s="104">
        <f t="shared" si="10"/>
        <v>2</v>
      </c>
      <c r="F47" s="106">
        <v>2.0</v>
      </c>
      <c r="G47" s="109"/>
    </row>
    <row r="48">
      <c r="A48" s="12"/>
      <c r="C48" s="13"/>
      <c r="D48" s="112" t="s">
        <v>285</v>
      </c>
      <c r="E48" s="104">
        <f t="shared" si="10"/>
        <v>2</v>
      </c>
      <c r="F48" s="106">
        <v>2.0</v>
      </c>
      <c r="G48" s="109"/>
    </row>
    <row r="49">
      <c r="A49" s="12"/>
      <c r="C49" s="13"/>
      <c r="D49" s="112" t="s">
        <v>67</v>
      </c>
      <c r="E49" s="104">
        <f t="shared" si="10"/>
        <v>1</v>
      </c>
      <c r="F49" s="106">
        <v>1.0</v>
      </c>
      <c r="G49" s="109"/>
    </row>
    <row r="50">
      <c r="A50" s="12"/>
      <c r="C50" s="13"/>
      <c r="D50" s="114" t="s">
        <v>300</v>
      </c>
      <c r="E50" s="104">
        <f t="shared" si="10"/>
        <v>4</v>
      </c>
      <c r="F50" s="106">
        <v>4.0</v>
      </c>
      <c r="G50" s="109"/>
    </row>
    <row r="51">
      <c r="A51" s="12"/>
      <c r="C51" s="13"/>
      <c r="D51" s="112" t="s">
        <v>301</v>
      </c>
      <c r="E51" s="104">
        <f t="shared" si="10"/>
        <v>1</v>
      </c>
      <c r="F51" s="106">
        <v>1.0</v>
      </c>
      <c r="G51" s="109"/>
    </row>
    <row r="52">
      <c r="A52" s="12"/>
      <c r="C52" s="13"/>
      <c r="D52" s="112" t="s">
        <v>302</v>
      </c>
      <c r="E52" s="104">
        <f t="shared" si="10"/>
        <v>1</v>
      </c>
      <c r="F52" s="106">
        <v>1.0</v>
      </c>
      <c r="G52" s="109"/>
    </row>
    <row r="53">
      <c r="A53" s="12"/>
      <c r="C53" s="13"/>
      <c r="D53" s="107" t="s">
        <v>8</v>
      </c>
      <c r="E53" s="104">
        <f t="shared" ref="E53:F53" si="11">SUM(E42:E52)</f>
        <v>18</v>
      </c>
      <c r="F53" s="104">
        <f t="shared" si="11"/>
        <v>18</v>
      </c>
      <c r="G53" s="104">
        <f>SUM(G42:G50)</f>
        <v>0</v>
      </c>
    </row>
    <row r="54">
      <c r="A54" s="12"/>
      <c r="C54" s="13"/>
      <c r="D54" s="103" t="s">
        <v>303</v>
      </c>
      <c r="E54" s="4"/>
      <c r="F54" s="4"/>
      <c r="G54" s="5"/>
    </row>
    <row r="55">
      <c r="A55" s="12"/>
      <c r="C55" s="13"/>
      <c r="D55" s="53" t="s">
        <v>304</v>
      </c>
      <c r="E55" s="11">
        <f t="shared" ref="E55:E58" si="12">F55+G55</f>
        <v>3</v>
      </c>
      <c r="F55" s="100">
        <v>3.0</v>
      </c>
      <c r="G55" s="24"/>
    </row>
    <row r="56">
      <c r="A56" s="12"/>
      <c r="C56" s="13"/>
      <c r="D56" s="53" t="s">
        <v>305</v>
      </c>
      <c r="E56" s="11">
        <f t="shared" si="12"/>
        <v>3</v>
      </c>
      <c r="F56" s="100">
        <v>3.0</v>
      </c>
      <c r="G56" s="24"/>
    </row>
    <row r="57">
      <c r="A57" s="12"/>
      <c r="C57" s="13"/>
      <c r="D57" s="53" t="s">
        <v>306</v>
      </c>
      <c r="E57" s="11">
        <f t="shared" si="12"/>
        <v>3</v>
      </c>
      <c r="F57" s="100">
        <v>3.0</v>
      </c>
      <c r="G57" s="24"/>
    </row>
    <row r="58">
      <c r="A58" s="12"/>
      <c r="C58" s="13"/>
      <c r="D58" s="53" t="s">
        <v>307</v>
      </c>
      <c r="E58" s="11">
        <f t="shared" si="12"/>
        <v>2</v>
      </c>
      <c r="F58" s="100">
        <v>2.0</v>
      </c>
      <c r="G58" s="24"/>
    </row>
    <row r="59">
      <c r="A59" s="12"/>
      <c r="C59" s="13"/>
      <c r="D59" s="58" t="s">
        <v>8</v>
      </c>
      <c r="E59" s="11">
        <f t="shared" ref="E59:G59" si="13">SUM(E55:E58)</f>
        <v>11</v>
      </c>
      <c r="F59" s="11">
        <f t="shared" si="13"/>
        <v>11</v>
      </c>
      <c r="G59" s="11">
        <f t="shared" si="13"/>
        <v>0</v>
      </c>
    </row>
    <row r="60">
      <c r="A60" s="12"/>
      <c r="C60" s="13"/>
      <c r="D60" s="103" t="s">
        <v>308</v>
      </c>
      <c r="E60" s="4"/>
      <c r="F60" s="4"/>
      <c r="G60" s="5"/>
    </row>
    <row r="61">
      <c r="A61" s="12"/>
      <c r="C61" s="13"/>
      <c r="D61" s="115" t="s">
        <v>309</v>
      </c>
      <c r="E61" s="104">
        <f t="shared" ref="E61:E73" si="14">F61+G61</f>
        <v>1</v>
      </c>
      <c r="F61" s="109"/>
      <c r="G61" s="111">
        <v>1.0</v>
      </c>
    </row>
    <row r="62">
      <c r="A62" s="12"/>
      <c r="C62" s="13"/>
      <c r="D62" s="109" t="s">
        <v>310</v>
      </c>
      <c r="E62" s="104">
        <f t="shared" si="14"/>
        <v>1</v>
      </c>
      <c r="F62" s="109"/>
      <c r="G62" s="111">
        <v>1.0</v>
      </c>
    </row>
    <row r="63">
      <c r="A63" s="12"/>
      <c r="C63" s="13"/>
      <c r="D63" s="115" t="s">
        <v>311</v>
      </c>
      <c r="E63" s="104">
        <f t="shared" si="14"/>
        <v>1</v>
      </c>
      <c r="F63" s="109"/>
      <c r="G63" s="111">
        <v>1.0</v>
      </c>
    </row>
    <row r="64">
      <c r="A64" s="12"/>
      <c r="C64" s="13"/>
      <c r="D64" s="109" t="s">
        <v>312</v>
      </c>
      <c r="E64" s="104">
        <f t="shared" si="14"/>
        <v>1</v>
      </c>
      <c r="F64" s="109"/>
      <c r="G64" s="111">
        <v>1.0</v>
      </c>
    </row>
    <row r="65">
      <c r="A65" s="12"/>
      <c r="C65" s="13"/>
      <c r="D65" s="109" t="s">
        <v>313</v>
      </c>
      <c r="E65" s="104">
        <f t="shared" si="14"/>
        <v>1</v>
      </c>
      <c r="F65" s="109"/>
      <c r="G65" s="111">
        <v>1.0</v>
      </c>
    </row>
    <row r="66">
      <c r="A66" s="12"/>
      <c r="C66" s="13"/>
      <c r="D66" s="115" t="s">
        <v>314</v>
      </c>
      <c r="E66" s="104">
        <f t="shared" si="14"/>
        <v>1</v>
      </c>
      <c r="F66" s="105">
        <v>1.0</v>
      </c>
      <c r="G66" s="106"/>
    </row>
    <row r="67">
      <c r="A67" s="12"/>
      <c r="C67" s="13"/>
      <c r="D67" s="115" t="s">
        <v>315</v>
      </c>
      <c r="E67" s="104">
        <f t="shared" si="14"/>
        <v>1</v>
      </c>
      <c r="F67" s="105">
        <v>1.0</v>
      </c>
      <c r="G67" s="106"/>
    </row>
    <row r="68">
      <c r="A68" s="12"/>
      <c r="C68" s="13"/>
      <c r="D68" s="115" t="s">
        <v>316</v>
      </c>
      <c r="E68" s="104">
        <f t="shared" si="14"/>
        <v>1</v>
      </c>
      <c r="F68" s="105">
        <v>1.0</v>
      </c>
      <c r="G68" s="106"/>
    </row>
    <row r="69">
      <c r="A69" s="12"/>
      <c r="C69" s="13"/>
      <c r="D69" s="115" t="s">
        <v>317</v>
      </c>
      <c r="E69" s="104">
        <f t="shared" si="14"/>
        <v>1</v>
      </c>
      <c r="F69" s="105">
        <v>1.0</v>
      </c>
      <c r="G69" s="106"/>
    </row>
    <row r="70">
      <c r="A70" s="12"/>
      <c r="C70" s="13"/>
      <c r="D70" s="109" t="s">
        <v>318</v>
      </c>
      <c r="E70" s="104">
        <f t="shared" si="14"/>
        <v>1</v>
      </c>
      <c r="F70" s="105">
        <v>1.0</v>
      </c>
      <c r="G70" s="106"/>
    </row>
    <row r="71">
      <c r="A71" s="12"/>
      <c r="C71" s="13"/>
      <c r="D71" s="109" t="s">
        <v>319</v>
      </c>
      <c r="E71" s="104">
        <f t="shared" si="14"/>
        <v>1</v>
      </c>
      <c r="F71" s="105">
        <v>1.0</v>
      </c>
      <c r="G71" s="106"/>
    </row>
    <row r="72">
      <c r="A72" s="12"/>
      <c r="C72" s="13"/>
      <c r="D72" s="115" t="s">
        <v>320</v>
      </c>
      <c r="E72" s="104">
        <f t="shared" si="14"/>
        <v>2</v>
      </c>
      <c r="F72" s="106">
        <v>2.0</v>
      </c>
      <c r="G72" s="109"/>
    </row>
    <row r="73">
      <c r="A73" s="12"/>
      <c r="C73" s="13"/>
      <c r="D73" s="116" t="s">
        <v>321</v>
      </c>
      <c r="E73" s="104">
        <f t="shared" si="14"/>
        <v>2</v>
      </c>
      <c r="F73" s="111">
        <v>2.0</v>
      </c>
      <c r="G73" s="109"/>
    </row>
    <row r="74">
      <c r="A74" s="16"/>
      <c r="B74" s="17"/>
      <c r="C74" s="18"/>
      <c r="D74" s="58" t="s">
        <v>8</v>
      </c>
      <c r="E74" s="11">
        <f t="shared" ref="E74:G74" si="15">SUM(E61:E73)</f>
        <v>15</v>
      </c>
      <c r="F74" s="117">
        <f t="shared" si="15"/>
        <v>10</v>
      </c>
      <c r="G74" s="117">
        <f t="shared" si="15"/>
        <v>5</v>
      </c>
    </row>
    <row r="75">
      <c r="A75" s="118" t="s">
        <v>30</v>
      </c>
      <c r="B75" s="8"/>
      <c r="C75" s="9"/>
      <c r="D75" s="103" t="s">
        <v>322</v>
      </c>
      <c r="E75" s="4"/>
      <c r="F75" s="4"/>
      <c r="G75" s="5"/>
    </row>
    <row r="76">
      <c r="A76" s="12"/>
      <c r="C76" s="13"/>
      <c r="D76" s="82" t="s">
        <v>323</v>
      </c>
      <c r="E76" s="11">
        <f t="shared" ref="E76:E84" si="16">F76+G76</f>
        <v>3</v>
      </c>
      <c r="F76" s="101">
        <v>3.0</v>
      </c>
      <c r="G76" s="24"/>
    </row>
    <row r="77">
      <c r="A77" s="12"/>
      <c r="C77" s="13"/>
      <c r="D77" s="82" t="s">
        <v>324</v>
      </c>
      <c r="E77" s="11">
        <f t="shared" si="16"/>
        <v>2</v>
      </c>
      <c r="F77" s="24"/>
      <c r="G77" s="100">
        <v>2.0</v>
      </c>
    </row>
    <row r="78">
      <c r="A78" s="16"/>
      <c r="B78" s="17"/>
      <c r="C78" s="18"/>
      <c r="D78" s="82" t="s">
        <v>325</v>
      </c>
      <c r="E78" s="11">
        <f t="shared" si="16"/>
        <v>2</v>
      </c>
      <c r="F78" s="100">
        <v>2.0</v>
      </c>
      <c r="G78" s="24"/>
    </row>
    <row r="79">
      <c r="A79" s="119" t="s">
        <v>142</v>
      </c>
      <c r="B79" s="4"/>
      <c r="C79" s="5"/>
      <c r="D79" s="53" t="s">
        <v>326</v>
      </c>
      <c r="E79" s="11">
        <f t="shared" si="16"/>
        <v>4</v>
      </c>
      <c r="F79" s="100">
        <v>2.0</v>
      </c>
      <c r="G79" s="100">
        <v>2.0</v>
      </c>
    </row>
    <row r="80">
      <c r="A80" s="119" t="s">
        <v>144</v>
      </c>
      <c r="B80" s="4"/>
      <c r="C80" s="5"/>
      <c r="D80" s="53" t="s">
        <v>146</v>
      </c>
      <c r="E80" s="11">
        <f t="shared" si="16"/>
        <v>2</v>
      </c>
      <c r="F80" s="100">
        <v>1.0</v>
      </c>
      <c r="G80" s="100">
        <v>1.0</v>
      </c>
    </row>
    <row r="81">
      <c r="A81" s="120" t="s">
        <v>181</v>
      </c>
      <c r="B81" s="8"/>
      <c r="C81" s="9"/>
      <c r="D81" s="71" t="s">
        <v>327</v>
      </c>
      <c r="E81" s="11">
        <f t="shared" si="16"/>
        <v>8</v>
      </c>
      <c r="F81" s="101">
        <v>6.0</v>
      </c>
      <c r="G81" s="101">
        <v>2.0</v>
      </c>
    </row>
    <row r="82">
      <c r="A82" s="12"/>
      <c r="C82" s="13"/>
      <c r="D82" s="71" t="s">
        <v>328</v>
      </c>
      <c r="E82" s="11">
        <f t="shared" si="16"/>
        <v>3</v>
      </c>
      <c r="F82" s="100"/>
      <c r="G82" s="101">
        <v>3.0</v>
      </c>
    </row>
    <row r="83">
      <c r="A83" s="12"/>
      <c r="C83" s="13"/>
      <c r="D83" s="71" t="s">
        <v>329</v>
      </c>
      <c r="E83" s="11">
        <f t="shared" si="16"/>
        <v>6</v>
      </c>
      <c r="F83" s="101">
        <v>3.0</v>
      </c>
      <c r="G83" s="101">
        <v>3.0</v>
      </c>
    </row>
    <row r="84">
      <c r="A84" s="16"/>
      <c r="B84" s="17"/>
      <c r="C84" s="18"/>
      <c r="D84" s="71" t="s">
        <v>330</v>
      </c>
      <c r="E84" s="11">
        <f t="shared" si="16"/>
        <v>4</v>
      </c>
      <c r="F84" s="101"/>
      <c r="G84" s="101">
        <v>4.0</v>
      </c>
    </row>
    <row r="85">
      <c r="A85" s="1"/>
      <c r="B85" s="1"/>
      <c r="C85" s="1"/>
      <c r="D85" s="57"/>
      <c r="E85" s="11">
        <f t="shared" ref="E85:G85" si="17">SUM(E81:E84)</f>
        <v>21</v>
      </c>
      <c r="F85" s="11">
        <f t="shared" si="17"/>
        <v>9</v>
      </c>
      <c r="G85" s="11">
        <f t="shared" si="17"/>
        <v>12</v>
      </c>
    </row>
    <row r="86">
      <c r="A86" s="2"/>
      <c r="B86" s="2"/>
      <c r="C86" s="2"/>
      <c r="D86" s="2"/>
      <c r="E86" s="59">
        <f t="shared" ref="E86:G86" si="18">SUM(E76:E80,E6,E10,E16,E26,E40,E53,E59,E74,E85)</f>
        <v>133</v>
      </c>
      <c r="F86" s="59">
        <f t="shared" si="18"/>
        <v>66</v>
      </c>
      <c r="G86" s="59">
        <f t="shared" si="18"/>
        <v>65</v>
      </c>
    </row>
  </sheetData>
  <mergeCells count="16">
    <mergeCell ref="D27:G27"/>
    <mergeCell ref="D41:G41"/>
    <mergeCell ref="D54:G54"/>
    <mergeCell ref="D60:G60"/>
    <mergeCell ref="A75:C78"/>
    <mergeCell ref="D75:G75"/>
    <mergeCell ref="A79:C79"/>
    <mergeCell ref="A80:C80"/>
    <mergeCell ref="A81:C84"/>
    <mergeCell ref="A2:B2"/>
    <mergeCell ref="A3:C3"/>
    <mergeCell ref="A4:C6"/>
    <mergeCell ref="A7:C74"/>
    <mergeCell ref="D7:G7"/>
    <mergeCell ref="D11:G11"/>
    <mergeCell ref="D17:G17"/>
  </mergeCells>
  <drawing r:id="rId1"/>
</worksheet>
</file>